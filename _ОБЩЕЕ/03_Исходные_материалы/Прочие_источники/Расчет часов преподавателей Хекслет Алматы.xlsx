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нтябрь" sheetId="1" r:id="rId5"/>
    <sheet state="visible" name="На 2025 год" sheetId="2" r:id="rId6"/>
    <sheet state="visible" name="Расчет ЗП для преподавателей на" sheetId="3" r:id="rId7"/>
    <sheet state="visible" name="Расчет ЗП для препод. на 2025-2" sheetId="4" r:id="rId8"/>
    <sheet state="visible" name="Расчет часов, ставок на препод " sheetId="5" r:id="rId9"/>
    <sheet state="visible" name="Штатное расписание на 2026-2027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======
ID#AAABhadE_iE
Daniyar Kaliaskarov    (2024-12-27 07:04:36)
есть непроведенные часы за 1 семестр</t>
      </text>
    </comment>
    <comment authorId="0" ref="G4">
      <text>
        <t xml:space="preserve">======
ID#AAABhadE_iA
Daniyar Kaliaskarov    (2024-12-27 07:01:37)
Есть не проведённые часы за 1 семестр</t>
      </text>
    </comment>
    <comment authorId="0" ref="A29">
      <text>
        <t xml:space="preserve">======
ID#AAABhadE_h4
Daniyar Kaliaskarov    (2024-12-27 05:36:55)
Данная сумма уже учтена в ЗП Бенли и Троянова</t>
      </text>
    </comment>
    <comment authorId="0" ref="E46">
      <text>
        <t xml:space="preserve">======
ID#AAABhadE_ic
Daniyar Kaliaskarov    (2024-12-27 05:32:50)
Данная сума уже учтена в ЗП Бенли и Троянова</t>
      </text>
    </comment>
    <comment authorId="0" ref="G15">
      <text>
        <t xml:space="preserve">======
ID#AAABhadE_iM
Daniyar Kaliaskarov    (2024-12-27 07:05:26)
есть не проведённые часы за 1 семестр</t>
      </text>
    </comment>
    <comment authorId="0" ref="E45">
      <text>
        <t xml:space="preserve">======
ID#AAABhadE_h8
Daniyar Kaliaskarov    (2024-12-27 05:32:05)
Данная сумма уже учтена в ЗП Бенли и Троянова</t>
      </text>
    </comment>
    <comment authorId="0" ref="G13">
      <text>
        <t xml:space="preserve">======
ID#AAABhadE_iY
Daniyar Kaliaskarov    (2024-12-27 07:05:02)
есть непроведенные часы за 1 семестр</t>
      </text>
    </comment>
    <comment authorId="0" ref="G8">
      <text>
        <t xml:space="preserve">======
ID#AAABhadE_iI
Daniyar Kaliaskarov    (2024-12-27 07:04:46)
есть непроведенные часы за 1 семестр</t>
      </text>
    </comment>
    <comment authorId="0" ref="G24">
      <text>
        <t xml:space="preserve">======
ID#AAABhadE_iQ
Daniyar Kaliaskarov    (2024-12-27 08:01:54)
есть не проведённые часы за 1 семестр</t>
      </text>
    </comment>
    <comment authorId="0" ref="A50">
      <text>
        <t xml:space="preserve">======
ID#AAABhadE_iU
Daniyar Kaliaskarov    (2025-01-23 06:36:21)
Данная должность вводится с сентября 2025 года</t>
      </text>
    </comment>
  </commentList>
</comments>
</file>

<file path=xl/sharedStrings.xml><?xml version="1.0" encoding="utf-8"?>
<sst xmlns="http://schemas.openxmlformats.org/spreadsheetml/2006/main" count="881" uniqueCount="294">
  <si>
    <t xml:space="preserve">Предмет </t>
  </si>
  <si>
    <t xml:space="preserve">Фамилия Имя Отчество </t>
  </si>
  <si>
    <t>Оклад за полную ставку</t>
  </si>
  <si>
    <t>Ставка факт</t>
  </si>
  <si>
    <t>Тарифная ставка/Оклад</t>
  </si>
  <si>
    <t>Сентябрь</t>
  </si>
  <si>
    <t>Октябрь</t>
  </si>
  <si>
    <t>Ноябрь</t>
  </si>
  <si>
    <t>Декабрь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</si>
  <si>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</si>
  <si>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</si>
  <si>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</si>
  <si>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</si>
  <si>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</si>
  <si>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</si>
  <si>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Казахский язык и литература</t>
  </si>
  <si>
    <t>Абдыкадырова Айнур Рахманалыевна</t>
  </si>
  <si>
    <t>-</t>
  </si>
  <si>
    <t>Русский язык/Русская литература</t>
  </si>
  <si>
    <t>Утюпова Рабига Даулбаевна</t>
  </si>
  <si>
    <t>Омарова Жупаргуль Салыковна</t>
  </si>
  <si>
    <t>2 700</t>
  </si>
  <si>
    <t>Русская литература</t>
  </si>
  <si>
    <t>Бегалиева Светлана Турановна</t>
  </si>
  <si>
    <t xml:space="preserve"> - </t>
  </si>
  <si>
    <t>Русский язык</t>
  </si>
  <si>
    <t>Капсаламова Динара Мусатаевна</t>
  </si>
  <si>
    <t>Иностранный язык</t>
  </si>
  <si>
    <t>Калиева Зухра Абдумижитовна</t>
  </si>
  <si>
    <t xml:space="preserve"> -</t>
  </si>
  <si>
    <t>Математика</t>
  </si>
  <si>
    <t>Мұхамедова Әйгерім Әділжанқызы</t>
  </si>
  <si>
    <t>Математика/Физика</t>
  </si>
  <si>
    <t>Сүлейменова Фейруза Нұрғалиқызы</t>
  </si>
  <si>
    <t>Физика</t>
  </si>
  <si>
    <t>Саудабаева Шаин Кошкенбаевна</t>
  </si>
  <si>
    <t>Начальная военная и технологическая подготовка (+полевые сборы -30 ч)</t>
  </si>
  <si>
    <t>Тохчуков Тимур Казбекович</t>
  </si>
  <si>
    <t>Химия</t>
  </si>
  <si>
    <t xml:space="preserve">Наренова Сауле Маратовна </t>
  </si>
  <si>
    <t>Әлайдар Әли Мұратұлы</t>
  </si>
  <si>
    <t>Химия/Биология</t>
  </si>
  <si>
    <t>Жартенова Акмарал Бахытовна</t>
  </si>
  <si>
    <t>Графика и проектирование</t>
  </si>
  <si>
    <t xml:space="preserve">Светенко Мария Сергеевна </t>
  </si>
  <si>
    <t>Применение базовых знаний экономики и основ предпринимательства / Структура отрасли/ Менеджмент в профессиональной деятельности</t>
  </si>
  <si>
    <t>Информатика</t>
  </si>
  <si>
    <t>Назарова Эльмира Бауыржановна</t>
  </si>
  <si>
    <t>Применение основ социальных наук для социализации и адаптации в обществе и трудовом коллективе</t>
  </si>
  <si>
    <t xml:space="preserve">Нугуманова Нургул Абдуллаевна
</t>
  </si>
  <si>
    <t>Жампетова Айгерим Оралбековна</t>
  </si>
  <si>
    <t>Всемирная история/Глобальные компетенции</t>
  </si>
  <si>
    <t xml:space="preserve">Рыбакова Лидия Владимировна </t>
  </si>
  <si>
    <t>Развитие и совершенствование физических качеств/ Физическая культура</t>
  </si>
  <si>
    <t>Асқарова Айза Ерболқызы</t>
  </si>
  <si>
    <t>Преподаватель организатор по НВП</t>
  </si>
  <si>
    <t>Преподаватель профильных дисциплин</t>
  </si>
  <si>
    <t xml:space="preserve">Бенли Рустем Артурович </t>
  </si>
  <si>
    <t xml:space="preserve">Троянов Даниил Дмитриевич </t>
  </si>
  <si>
    <t>Психолог</t>
  </si>
  <si>
    <t>Бектемирова Гульжанат Абулгалиевна</t>
  </si>
  <si>
    <t>200 000</t>
  </si>
  <si>
    <t>УВОЛЕНА</t>
  </si>
  <si>
    <t>Педагог-психолог</t>
  </si>
  <si>
    <t>40 000</t>
  </si>
  <si>
    <t xml:space="preserve">Каждого 10-го числа оплата у </t>
  </si>
  <si>
    <t>Яхьянова Зухрагуль Магаметжановна</t>
  </si>
  <si>
    <t>Тарифная ставка / Оклад</t>
  </si>
  <si>
    <t>Часов по РУП за семестр</t>
  </si>
  <si>
    <t>Сумма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</si>
  <si>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</si>
  <si>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</si>
  <si>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</si>
  <si>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</si>
  <si>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</si>
  <si>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</si>
  <si>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</si>
  <si>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</si>
  <si>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 xml:space="preserve">Часы </t>
  </si>
  <si>
    <t xml:space="preserve">сумма </t>
  </si>
  <si>
    <t>История Казахстана</t>
  </si>
  <si>
    <t xml:space="preserve"> Физическая культура</t>
  </si>
  <si>
    <t>География</t>
  </si>
  <si>
    <t>Биология</t>
  </si>
  <si>
    <t>Всемирная история</t>
  </si>
  <si>
    <t>Курс "Глобальные компетенции"</t>
  </si>
  <si>
    <t>Графика и проектирование \ Индивидуальный проект</t>
  </si>
  <si>
    <t>Промежуточная аттестация</t>
  </si>
  <si>
    <t>Развитие и совершенствование физических качеств/</t>
  </si>
  <si>
    <t xml:space="preserve">Применение информационно-коммуникационных и цифровых технологий (ИКТ) / </t>
  </si>
  <si>
    <t>Итого за ООМ</t>
  </si>
  <si>
    <t>Итого за ПМ</t>
  </si>
  <si>
    <t>Директор</t>
  </si>
  <si>
    <t>ДЖАЛИЛОВ АЗИЗ АВДУНОВИЧ</t>
  </si>
  <si>
    <t>Заместитель директора по
воспитательной работе (забота о студентах)</t>
  </si>
  <si>
    <t xml:space="preserve">Мұхамедова Әйгерім Әдільжанқызы </t>
  </si>
  <si>
    <t>Заместитель директора по
учебной работе и
работе с контингентом</t>
  </si>
  <si>
    <t>Калиаскаров Данияр Айтахметович</t>
  </si>
  <si>
    <t>Заведующий хозяйством</t>
  </si>
  <si>
    <t xml:space="preserve">Тлемисов Жаксылык Бердикулович </t>
  </si>
  <si>
    <t xml:space="preserve">Заведующий отделением
</t>
  </si>
  <si>
    <t>Методист (специалист по учебно-методической работе) ЕСТЬ</t>
  </si>
  <si>
    <t>Заведующий отделом кадров (секретарь)</t>
  </si>
  <si>
    <r>
      <rPr>
        <rFont val="Calibri"/>
        <color theme="1"/>
        <sz val="10.0"/>
      </rPr>
      <t>Инспектор по кадрам (</t>
    </r>
    <r>
      <rPr>
        <rFont val="Calibri"/>
        <color theme="1"/>
        <sz val="10.0"/>
      </rPr>
      <t>на ЭТОТ ГОД эта задача у отдела по воспитательной работе. Отдельного сотрудника НЕ ищем)</t>
    </r>
  </si>
  <si>
    <t xml:space="preserve">Системный администратор, администратор сайта </t>
  </si>
  <si>
    <t>Куратор</t>
  </si>
  <si>
    <t>Абишева Адия Бауржановна</t>
  </si>
  <si>
    <t xml:space="preserve">Дильман Дария Александровна </t>
  </si>
  <si>
    <t>Дианова Галина Салимовна</t>
  </si>
  <si>
    <t>Главный бухгалтер</t>
  </si>
  <si>
    <t>Юридическое сопровождение, в том числе пошлины (РУКОВОДИТЕЛЬ)</t>
  </si>
  <si>
    <t>Медицинская сестра</t>
  </si>
  <si>
    <t>Педагог- психолог</t>
  </si>
  <si>
    <t>Преподаватель-организатор по НВП</t>
  </si>
  <si>
    <t>Технический персонал</t>
  </si>
  <si>
    <t xml:space="preserve">Итого за Администрацию </t>
  </si>
  <si>
    <t xml:space="preserve">Итого по ЗП </t>
  </si>
  <si>
    <t xml:space="preserve">В шате </t>
  </si>
  <si>
    <t xml:space="preserve">По часовая </t>
  </si>
  <si>
    <t>Индекс</t>
  </si>
  <si>
    <t>Количество очных групп </t>
  </si>
  <si>
    <t>Количество заочных групп </t>
  </si>
  <si>
    <t>Всего часов на предмет очно</t>
  </si>
  <si>
    <t xml:space="preserve">Всего часов на предмет заочно </t>
  </si>
  <si>
    <t>Всего часов</t>
  </si>
  <si>
    <t xml:space="preserve">Ставка </t>
  </si>
  <si>
    <t>Количество преподавателей</t>
  </si>
  <si>
    <t>ставка</t>
  </si>
  <si>
    <t xml:space="preserve">часы учебной практики </t>
  </si>
  <si>
    <t xml:space="preserve">сумма оплаты </t>
  </si>
  <si>
    <t xml:space="preserve"> часовой оплате</t>
  </si>
  <si>
    <t xml:space="preserve">В месяц </t>
  </si>
  <si>
    <t>в месяц на каждого преподова</t>
  </si>
  <si>
    <t xml:space="preserve">Всего за часы </t>
  </si>
  <si>
    <t xml:space="preserve">Оклад при по часовое оплате </t>
  </si>
  <si>
    <t>ООД 01</t>
  </si>
  <si>
    <t>ООД 02</t>
  </si>
  <si>
    <t>ООД 03</t>
  </si>
  <si>
    <t>ООД 04</t>
  </si>
  <si>
    <t>ООД 05</t>
  </si>
  <si>
    <t>ООД 06</t>
  </si>
  <si>
    <t>ООД 07</t>
  </si>
  <si>
    <t>ООД 08</t>
  </si>
  <si>
    <t>ООД 09</t>
  </si>
  <si>
    <t>ООД 10</t>
  </si>
  <si>
    <t>ООД 11</t>
  </si>
  <si>
    <t>ООД 12</t>
  </si>
  <si>
    <t>ООД 13</t>
  </si>
  <si>
    <t>ООД 14</t>
  </si>
  <si>
    <t>ООД 15</t>
  </si>
  <si>
    <t>ООД 16</t>
  </si>
  <si>
    <t>ПА 01</t>
  </si>
  <si>
    <t>Итого ООД</t>
  </si>
  <si>
    <t>ООМ 1</t>
  </si>
  <si>
    <t>ООМ 2</t>
  </si>
  <si>
    <t>ООМ 3</t>
  </si>
  <si>
    <t>ООМ 4</t>
  </si>
  <si>
    <t>Итого ООМ</t>
  </si>
  <si>
    <t>ПМ 1</t>
  </si>
  <si>
    <t>Создание web-страниц, сайтов с применением web-технологий</t>
  </si>
  <si>
    <t>ПМ 2</t>
  </si>
  <si>
    <t>Прикладное программирование</t>
  </si>
  <si>
    <t>ПМ 3</t>
  </si>
  <si>
    <t>Разработка модулей программного обеспечения для компьютерных систем</t>
  </si>
  <si>
    <t>ПМ 4</t>
  </si>
  <si>
    <t>Разработка браузерных приложений</t>
  </si>
  <si>
    <t>ПМ 5</t>
  </si>
  <si>
    <t>Разработка веб приложений на React</t>
  </si>
  <si>
    <t>ПМ 6</t>
  </si>
  <si>
    <t>Поддержка и тестирование программных модулей</t>
  </si>
  <si>
    <t>ПМ 7</t>
  </si>
  <si>
    <t>Сопровождение и обслуживание программного обеспечения компьютерных систем</t>
  </si>
  <si>
    <t>ПМ 8</t>
  </si>
  <si>
    <t>Разработка, администрирование и защита баз данных</t>
  </si>
  <si>
    <t>Промежуточной аттестации (нед)</t>
  </si>
  <si>
    <t>Итоговая аттестация</t>
  </si>
  <si>
    <t>Итого ПМ</t>
  </si>
  <si>
    <t>Итого</t>
  </si>
  <si>
    <t>Без налогов</t>
  </si>
  <si>
    <t>Разница</t>
  </si>
  <si>
    <t>С налогами</t>
  </si>
  <si>
    <t xml:space="preserve">В штате </t>
  </si>
  <si>
    <t>Квалифика</t>
  </si>
  <si>
    <t>Кол-во очных групп новый набор</t>
  </si>
  <si>
    <t>Все на базе 9 кл</t>
  </si>
  <si>
    <t>Начальная военная и технологическая подготовка</t>
  </si>
  <si>
    <t>РПО, ТИС, ВД, ТИБ</t>
  </si>
  <si>
    <t xml:space="preserve">География </t>
  </si>
  <si>
    <t xml:space="preserve">Маркетинг, Менеджмент </t>
  </si>
  <si>
    <t>Казахский язык</t>
  </si>
  <si>
    <t>Казахская литература</t>
  </si>
  <si>
    <t>Русский язык и литература</t>
  </si>
  <si>
    <t xml:space="preserve">18, 19, 20 РПО/25, новый набор 2026 </t>
  </si>
  <si>
    <t xml:space="preserve">Применение информационно-коммуникационных и цифровых технологий (ИКТ) </t>
  </si>
  <si>
    <t xml:space="preserve">Применение базовых знаний экономики и основ предпринимательства </t>
  </si>
  <si>
    <t>ТИС</t>
  </si>
  <si>
    <t>ВД</t>
  </si>
  <si>
    <t xml:space="preserve">Маркетинг </t>
  </si>
  <si>
    <t>7, 8 ТИС/23</t>
  </si>
  <si>
    <t xml:space="preserve">ТИС </t>
  </si>
  <si>
    <t>Разработка веб приложений на React. Практика (Учебная)</t>
  </si>
  <si>
    <t>Сопровождение и обслуживание программного обеспечения компьютерных систем. Практика (Учебная)</t>
  </si>
  <si>
    <t>Разработка, администрирование и защита баз данных. Практика (Учебная)</t>
  </si>
  <si>
    <t xml:space="preserve">Итого </t>
  </si>
  <si>
    <t>9 ТИС/24, 10 ТИС/24 з/о</t>
  </si>
  <si>
    <t>с 11 по 15 ТИС/24, 17 ТИС/25 з/о</t>
  </si>
  <si>
    <t>Разработка модулей программного обеспечения для компьютерных систем. Практика (Учебная)</t>
  </si>
  <si>
    <t>Разработка браузерных приложений. Практика (Учебная)</t>
  </si>
  <si>
    <t>Поддержка и тестирование программных модулей. Практика (Учебная)</t>
  </si>
  <si>
    <t>16 РПО/25</t>
  </si>
  <si>
    <t>РПО</t>
  </si>
  <si>
    <t xml:space="preserve">18 - 20 РПО/25, 22 РПО/25 </t>
  </si>
  <si>
    <t>Проектирование программного обеспечения</t>
  </si>
  <si>
    <t xml:space="preserve">РПО </t>
  </si>
  <si>
    <t>Проектирование программного обеспечения. Практика (Учебная)</t>
  </si>
  <si>
    <t>Составление алгоритма и создание блок-схемы на основе спецификации программного обеспечения</t>
  </si>
  <si>
    <t>Составление алгоритма и создание блок-схемы на основе спецификации программного обеспечения. Практика (Учебная)</t>
  </si>
  <si>
    <t>Программирование модулей программного обеспечения</t>
  </si>
  <si>
    <t>Программирование модулей программного обеспечения. Практика (Учебная)</t>
  </si>
  <si>
    <t>23 ТИС/25, заочная группа 2026 года</t>
  </si>
  <si>
    <t xml:space="preserve">Установка и сопровождение программного и аппаратного обеспечения.
</t>
  </si>
  <si>
    <t xml:space="preserve">Установка и сопровождение программного и аппаратного обеспечения. Практика (Учебная)
</t>
  </si>
  <si>
    <t xml:space="preserve">Монтаж и обслуживание локально вычислительной сети и серверного оборудования организации
</t>
  </si>
  <si>
    <t xml:space="preserve">Монтаж и обслуживание локально вычислительной сети и серверного оборудования организац.  Практика (Учебная)
ии
</t>
  </si>
  <si>
    <t xml:space="preserve">Разработка кода программного обеспечения </t>
  </si>
  <si>
    <t>Разработка кода программного обеспечения.  Практика (Учебная)</t>
  </si>
  <si>
    <t>24 МАР/25</t>
  </si>
  <si>
    <t>Проведение маркетинговых исследований для создания и реализации рекламного продукта</t>
  </si>
  <si>
    <t xml:space="preserve">Маркетолог </t>
  </si>
  <si>
    <t>Проведение маркетинговых исследований для создания и реализации рекламного продукта.  Практика (Учебная)</t>
  </si>
  <si>
    <t>Подготовка и проведение коммуникационных кампаний по формированию имиджа и деловой репутации</t>
  </si>
  <si>
    <t>Продвижение продукции, услуг в Интернете</t>
  </si>
  <si>
    <t>21 ВД/25, набор 2026 года</t>
  </si>
  <si>
    <t>Сканирование и обработка графической информации</t>
  </si>
  <si>
    <t>Сканирование и обработка графической информации. Практика (Учебная)</t>
  </si>
  <si>
    <t>Текстовое наполнение сайта, постоянное обновление информации</t>
  </si>
  <si>
    <t>ПМ 3 Техническая поддержка сайта</t>
  </si>
  <si>
    <t>С налогом</t>
  </si>
  <si>
    <t xml:space="preserve">Модель </t>
  </si>
  <si>
    <t xml:space="preserve">Было </t>
  </si>
  <si>
    <t>количество преподователей для спец дис</t>
  </si>
  <si>
    <t xml:space="preserve">ТОО Колледж Хекслет </t>
  </si>
  <si>
    <t>(официальное наименование организации)</t>
  </si>
  <si>
    <t>Утверждено</t>
  </si>
  <si>
    <t>Приказом от «___» ___________ 20__ года № ______</t>
  </si>
  <si>
    <t>штат в количестве _____________ единиц</t>
  </si>
  <si>
    <t>с месячным фондом заработной платы _______________ тенге</t>
  </si>
  <si>
    <t>Штатное расписание</t>
  </si>
  <si>
    <t xml:space="preserve">на 2026 - 2027 учебный год </t>
  </si>
  <si>
    <t>№ п/п</t>
  </si>
  <si>
    <t>Должность (профессия)</t>
  </si>
  <si>
    <t>Количество штатных единиц</t>
  </si>
  <si>
    <t>тарифная ставка</t>
  </si>
  <si>
    <t>Оклад тенге</t>
  </si>
  <si>
    <t>По часовая оплата</t>
  </si>
  <si>
    <t>Месячный фонд заработной платы, тенге</t>
  </si>
  <si>
    <t>Годвой фонд заработной платы, тенге</t>
  </si>
  <si>
    <t>Примечание</t>
  </si>
  <si>
    <t>Количество часов</t>
  </si>
  <si>
    <t>Ставка</t>
  </si>
  <si>
    <t xml:space="preserve">Заместитель директора по воспитательной работе </t>
  </si>
  <si>
    <t xml:space="preserve">Заместитель директора по учебной работе </t>
  </si>
  <si>
    <t xml:space="preserve">Заведующий центром развития карьеры </t>
  </si>
  <si>
    <t xml:space="preserve">Секретарь учебно-методической  части </t>
  </si>
  <si>
    <t xml:space="preserve">Методист (специалист по учебно-методической работе) </t>
  </si>
  <si>
    <t xml:space="preserve">Менеджер приемной комиссии </t>
  </si>
  <si>
    <t>Бухгалтер</t>
  </si>
  <si>
    <t xml:space="preserve">Педагог- психолог </t>
  </si>
  <si>
    <t xml:space="preserve">Педагог-Организатор </t>
  </si>
  <si>
    <t>?</t>
  </si>
  <si>
    <t xml:space="preserve">Технически персанал </t>
  </si>
  <si>
    <t xml:space="preserve">Преподаватель по Казахскому языку и литературе </t>
  </si>
  <si>
    <t>Преподаватель по Русскому языку</t>
  </si>
  <si>
    <t>Преподаватель по Русской литературе</t>
  </si>
  <si>
    <t>Преподаватель по Иностранному языку</t>
  </si>
  <si>
    <t>Преподаватель по Истории Казахстана</t>
  </si>
  <si>
    <t>Преподаватель по Математике</t>
  </si>
  <si>
    <t>Преподаватель по Информатике</t>
  </si>
  <si>
    <t>Преподаватель по Начальной военной и технологической подготовке</t>
  </si>
  <si>
    <t>Преподаватель по Физической культуре</t>
  </si>
  <si>
    <t>Преподаватель по Физике</t>
  </si>
  <si>
    <t>Преподаватель по Химии</t>
  </si>
  <si>
    <t>Преподаватель по Географии</t>
  </si>
  <si>
    <t xml:space="preserve">Преподаватель по Биологии </t>
  </si>
  <si>
    <t>Преподаватель по Всемирной истории</t>
  </si>
  <si>
    <t>Преподаватель по Курсу "Глобальные компетенции"</t>
  </si>
  <si>
    <t>Преподаватель по Графике и проектированию</t>
  </si>
  <si>
    <t>Преподаватель по Развитию и совершенствованию физических качеств</t>
  </si>
  <si>
    <t xml:space="preserve">Преподаватель по Применению информационно-коммуникационных и цифровых технологий (ИКТ) </t>
  </si>
  <si>
    <t>Преподаватель по Применению базовых знаний экономики и основ предпринимательства / Структура отрасли/ Менеджмент в профессиональной деятельности</t>
  </si>
  <si>
    <t>Преподаватель по Применению основ социальных наук для социализации и адаптации в обществе и трудовом коллективе</t>
  </si>
  <si>
    <t xml:space="preserve">Преподаватель по спецыальным дисцыплинам </t>
  </si>
  <si>
    <t>Заместитель директора по учебной работе____________________________________________________________</t>
  </si>
  <si>
    <t>(должность, личная подпись)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</si>
</sst>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_-* #,##0.00\ [$₽-19]_-;\-* #,##0.00\ [$₽-19]_-;_-* &quot;-&quot;??\ [$₽-19]_-;_-@"/>
  </numFmts>
  <fonts count="23">
    <font>
      <sz val="10.0"/>
      <color theme="1"/>
      <name val="Arial"/>
      <scheme val="minor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theme="1"/>
      <name val="Arial"/>
    </font>
    <font>
      <sz val="10.0"/>
      <color rgb="FF1F1F1F"/>
      <name val="Times New Roman"/>
    </font>
    <font>
      <b/>
      <sz val="10.0"/>
      <color theme="1"/>
      <name val="Arial"/>
    </font>
    <font>
      <b/>
      <sz val="9.0"/>
      <color rgb="FF1F1F1F"/>
      <name val="Roboto"/>
    </font>
    <font/>
    <font>
      <sz val="11.0"/>
      <color theme="1"/>
      <name val="Calibri"/>
    </font>
    <font>
      <sz val="10.0"/>
      <color theme="1"/>
      <name val="Calibri"/>
    </font>
    <font>
      <sz val="9.0"/>
      <color theme="1"/>
      <name val="Times New Roman"/>
    </font>
    <font>
      <sz val="9.0"/>
      <color rgb="FF1F1F1F"/>
      <name val="Times New Roman"/>
    </font>
    <font>
      <b/>
      <sz val="10.0"/>
      <color theme="1"/>
      <name val="Calibri"/>
    </font>
    <font>
      <sz val="11.0"/>
      <color theme="1"/>
      <name val="Times New Roman"/>
    </font>
    <font>
      <color theme="1"/>
      <name val="Arial"/>
      <scheme val="minor"/>
    </font>
    <font>
      <b/>
      <sz val="10.0"/>
      <color rgb="FF1F1F1F"/>
      <name val="Times New Roman"/>
    </font>
    <font>
      <color theme="1"/>
      <name val="Arial"/>
    </font>
    <font>
      <b/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color theme="1"/>
      <name val="Times New Roman"/>
    </font>
    <font>
      <sz val="12.0"/>
      <color rgb="FF1F1F1F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8DB5F8"/>
        <bgColor rgb="FF8DB5F8"/>
      </patternFill>
    </fill>
    <fill>
      <patternFill patternType="solid">
        <fgColor rgb="FFF28E85"/>
        <bgColor rgb="FFF28E85"/>
      </patternFill>
    </fill>
    <fill>
      <patternFill patternType="solid">
        <fgColor rgb="FF00FF00"/>
        <bgColor rgb="FF00FF00"/>
      </patternFill>
    </fill>
    <fill>
      <patternFill patternType="solid">
        <fgColor rgb="FFF6B3AE"/>
        <bgColor rgb="FFF6B3AE"/>
      </patternFill>
    </fill>
    <fill>
      <patternFill patternType="solid">
        <fgColor rgb="FFB3CEFA"/>
        <bgColor rgb="FFB3CEFA"/>
      </patternFill>
    </fill>
    <fill>
      <patternFill patternType="solid">
        <fgColor rgb="FF7AD592"/>
        <bgColor rgb="FF7AD592"/>
      </patternFill>
    </fill>
    <fill>
      <patternFill patternType="solid">
        <fgColor rgb="FF8FD7DC"/>
        <bgColor rgb="FF8FD7DC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A4C2F4"/>
        <bgColor rgb="FFA4C2F4"/>
      </patternFill>
    </fill>
    <fill>
      <patternFill patternType="solid">
        <fgColor rgb="FFE06666"/>
        <bgColor rgb="FFE06666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top style="thin">
        <color rgb="FF000000"/>
      </top>
    </border>
    <border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 style="thin">
        <color rgb="FF000000"/>
      </top>
      <bottom/>
    </border>
    <border>
      <left style="thin">
        <color theme="1"/>
      </left>
      <right style="thin">
        <color theme="1"/>
      </right>
    </border>
    <border>
      <left/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/>
    </border>
    <border>
      <left/>
      <bottom/>
    </border>
    <border>
      <left style="thin">
        <color theme="1"/>
      </left>
      <right style="thin">
        <color theme="1"/>
      </right>
      <bottom style="thin">
        <color theme="1"/>
      </bottom>
    </border>
    <border>
      <lef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2" fillId="2" fontId="1" numFmtId="3" xfId="0" applyAlignment="1" applyBorder="1" applyFont="1" applyNumberFormat="1">
      <alignment horizontal="center"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7" fillId="2" fontId="2" numFmtId="2" xfId="0" applyAlignment="1" applyBorder="1" applyFont="1" applyNumberFormat="1">
      <alignment horizontal="center" shrinkToFit="0" vertical="center" wrapText="1"/>
    </xf>
    <xf borderId="8" fillId="2" fontId="1" numFmtId="3" xfId="0" applyAlignment="1" applyBorder="1" applyFont="1" applyNumberForma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10" fillId="2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1" fillId="2" fontId="2" numFmtId="3" xfId="0" applyAlignment="1" applyBorder="1" applyFont="1" applyNumberFormat="1">
      <alignment horizontal="center" shrinkToFit="0" vertical="center" wrapText="1"/>
    </xf>
    <xf borderId="11" fillId="2" fontId="2" numFmtId="2" xfId="0" applyAlignment="1" applyBorder="1" applyFont="1" applyNumberFormat="1">
      <alignment horizontal="center" shrinkToFit="0" vertical="center" wrapText="1"/>
    </xf>
    <xf borderId="1" fillId="2" fontId="2" numFmtId="3" xfId="0" applyAlignment="1" applyBorder="1" applyFont="1" applyNumberFormat="1">
      <alignment horizontal="center" shrinkToFit="0" vertical="center" wrapText="1"/>
    </xf>
    <xf borderId="1" fillId="2" fontId="2" numFmtId="2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/>
    </xf>
    <xf borderId="3" fillId="2" fontId="3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12" fillId="0" fontId="7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3" fontId="3" numFmtId="0" xfId="0" applyBorder="1" applyFont="1"/>
    <xf borderId="13" fillId="2" fontId="4" numFmtId="0" xfId="0" applyAlignment="1" applyBorder="1" applyFont="1">
      <alignment horizontal="center"/>
    </xf>
    <xf borderId="14" fillId="2" fontId="4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1" fillId="0" fontId="3" numFmtId="0" xfId="0" applyBorder="1" applyFont="1"/>
    <xf borderId="5" fillId="0" fontId="2" numFmtId="0" xfId="0" applyAlignment="1" applyBorder="1" applyFont="1">
      <alignment shrinkToFit="0" vertical="top" wrapText="1"/>
    </xf>
    <xf borderId="13" fillId="0" fontId="3" numFmtId="0" xfId="0" applyBorder="1" applyFont="1"/>
    <xf borderId="1" fillId="0" fontId="1" numFmtId="3" xfId="0" applyAlignment="1" applyBorder="1" applyFont="1" applyNumberFormat="1">
      <alignment horizontal="center" shrinkToFit="0" vertical="center" wrapText="1"/>
    </xf>
    <xf borderId="2" fillId="4" fontId="1" numFmtId="3" xfId="0" applyAlignment="1" applyBorder="1" applyFill="1" applyFont="1" applyNumberFormat="1">
      <alignment horizontal="center" shrinkToFit="0" vertical="center" wrapText="1"/>
    </xf>
    <xf borderId="15" fillId="2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16" fillId="2" fontId="2" numFmtId="3" xfId="0" applyAlignment="1" applyBorder="1" applyFont="1" applyNumberFormat="1">
      <alignment horizontal="center" shrinkToFit="0" vertical="center" wrapText="1"/>
    </xf>
    <xf borderId="16" fillId="2" fontId="2" numFmtId="2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5" fillId="0" fontId="3" numFmtId="0" xfId="0" applyBorder="1" applyFont="1"/>
    <xf borderId="1" fillId="2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shrinkToFit="0" vertical="center" wrapText="1"/>
    </xf>
    <xf borderId="18" fillId="0" fontId="13" numFmtId="0" xfId="0" applyBorder="1" applyFont="1"/>
    <xf borderId="1" fillId="5" fontId="2" numFmtId="0" xfId="0" applyAlignment="1" applyBorder="1" applyFill="1" applyFont="1">
      <alignment horizontal="center" shrinkToFit="0" vertical="center" wrapText="1"/>
    </xf>
    <xf borderId="1" fillId="5" fontId="3" numFmtId="3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1" fillId="0" fontId="14" numFmtId="0" xfId="0" applyBorder="1" applyFont="1"/>
    <xf borderId="13" fillId="6" fontId="5" numFmtId="0" xfId="0" applyBorder="1" applyFill="1" applyFont="1"/>
    <xf borderId="19" fillId="6" fontId="5" numFmtId="0" xfId="0" applyBorder="1" applyFont="1"/>
    <xf borderId="20" fillId="7" fontId="5" numFmtId="0" xfId="0" applyBorder="1" applyFill="1" applyFont="1"/>
    <xf borderId="21" fillId="0" fontId="7" numFmtId="0" xfId="0" applyBorder="1" applyFont="1"/>
    <xf borderId="22" fillId="0" fontId="7" numFmtId="0" xfId="0" applyBorder="1" applyFont="1"/>
    <xf borderId="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center" wrapText="1"/>
    </xf>
    <xf borderId="23" fillId="0" fontId="15" numFmtId="0" xfId="0" applyAlignment="1" applyBorder="1" applyFont="1">
      <alignment shrinkToFit="0" vertical="center" wrapText="1"/>
    </xf>
    <xf borderId="17" fillId="2" fontId="1" numFmtId="0" xfId="0" applyAlignment="1" applyBorder="1" applyFont="1">
      <alignment shrinkToFit="0" vertical="center" wrapText="1"/>
    </xf>
    <xf borderId="24" fillId="2" fontId="1" numFmtId="0" xfId="0" applyAlignment="1" applyBorder="1" applyFont="1">
      <alignment shrinkToFit="0" vertical="center" wrapText="1"/>
    </xf>
    <xf borderId="25" fillId="6" fontId="1" numFmtId="0" xfId="0" applyAlignment="1" applyBorder="1" applyFont="1">
      <alignment shrinkToFit="0" vertical="center" wrapText="1"/>
    </xf>
    <xf borderId="1" fillId="6" fontId="3" numFmtId="0" xfId="0" applyBorder="1" applyFont="1"/>
    <xf borderId="1" fillId="6" fontId="1" numFmtId="0" xfId="0" applyAlignment="1" applyBorder="1" applyFont="1">
      <alignment shrinkToFit="0" vertical="center" wrapText="1"/>
    </xf>
    <xf borderId="1" fillId="6" fontId="3" numFmtId="164" xfId="0" applyAlignment="1" applyBorder="1" applyFont="1" applyNumberFormat="1">
      <alignment horizontal="center" shrinkToFit="0" vertical="center" wrapText="1"/>
    </xf>
    <xf borderId="26" fillId="8" fontId="1" numFmtId="0" xfId="0" applyAlignment="1" applyBorder="1" applyFill="1" applyFont="1">
      <alignment shrinkToFit="0" vertical="center" wrapText="1"/>
    </xf>
    <xf borderId="13" fillId="8" fontId="1" numFmtId="0" xfId="0" applyAlignment="1" applyBorder="1" applyFont="1">
      <alignment shrinkToFit="0" vertical="center" wrapText="1"/>
    </xf>
    <xf borderId="24" fillId="7" fontId="1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7" fontId="15" numFmtId="0" xfId="0" applyAlignment="1" applyBorder="1" applyFont="1">
      <alignment shrinkToFit="0" vertical="center" wrapText="1"/>
    </xf>
    <xf borderId="14" fillId="2" fontId="1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vertical="center"/>
    </xf>
    <xf borderId="5" fillId="2" fontId="6" numFmtId="0" xfId="0" applyAlignment="1" applyBorder="1" applyFont="1">
      <alignment vertical="center"/>
    </xf>
    <xf borderId="17" fillId="0" fontId="7" numFmtId="0" xfId="0" applyBorder="1" applyFont="1"/>
    <xf borderId="1" fillId="0" fontId="10" numFmtId="0" xfId="0" applyAlignment="1" applyBorder="1" applyFont="1">
      <alignment vertical="center"/>
    </xf>
    <xf borderId="27" fillId="0" fontId="3" numFmtId="0" xfId="0" applyBorder="1" applyFont="1"/>
    <xf borderId="17" fillId="0" fontId="16" numFmtId="0" xfId="0" applyBorder="1" applyFont="1"/>
    <xf borderId="1" fillId="0" fontId="16" numFmtId="0" xfId="0" applyBorder="1" applyFont="1"/>
    <xf borderId="16" fillId="6" fontId="3" numFmtId="0" xfId="0" applyBorder="1" applyFont="1"/>
    <xf borderId="1" fillId="6" fontId="3" numFmtId="164" xfId="0" applyAlignment="1" applyBorder="1" applyFont="1" applyNumberFormat="1">
      <alignment horizontal="center" vertical="center"/>
    </xf>
    <xf borderId="28" fillId="8" fontId="3" numFmtId="0" xfId="0" applyBorder="1" applyFont="1"/>
    <xf borderId="29" fillId="8" fontId="3" numFmtId="0" xfId="0" applyBorder="1" applyFont="1"/>
    <xf borderId="2" fillId="7" fontId="3" numFmtId="0" xfId="0" applyBorder="1" applyFont="1"/>
    <xf borderId="1" fillId="7" fontId="3" numFmtId="0" xfId="0" applyBorder="1" applyFont="1"/>
    <xf borderId="1" fillId="3" fontId="2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7" fillId="0" fontId="3" numFmtId="1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5" fillId="6" fontId="3" numFmtId="164" xfId="0" applyAlignment="1" applyBorder="1" applyFont="1" applyNumberFormat="1">
      <alignment horizontal="center" vertical="center"/>
    </xf>
    <xf borderId="12" fillId="8" fontId="3" numFmtId="1" xfId="0" applyAlignment="1" applyBorder="1" applyFont="1" applyNumberFormat="1">
      <alignment horizontal="center" vertical="center"/>
    </xf>
    <xf borderId="2" fillId="8" fontId="3" numFmtId="1" xfId="0" applyAlignment="1" applyBorder="1" applyFont="1" applyNumberFormat="1">
      <alignment horizontal="center" vertical="center"/>
    </xf>
    <xf borderId="2" fillId="8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/>
    </xf>
    <xf borderId="1" fillId="7" fontId="2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horizontal="center" shrinkToFit="0" vertical="center" wrapText="1"/>
    </xf>
    <xf borderId="1" fillId="9" fontId="4" numFmtId="0" xfId="0" applyBorder="1" applyFill="1" applyFont="1"/>
    <xf borderId="2" fillId="9" fontId="2" numFmtId="0" xfId="0" applyAlignment="1" applyBorder="1" applyFont="1">
      <alignment horizontal="center" readingOrder="0" shrinkToFit="0" vertical="center" wrapText="1"/>
    </xf>
    <xf borderId="2" fillId="9" fontId="2" numFmtId="0" xfId="0" applyAlignment="1" applyBorder="1" applyFont="1">
      <alignment horizontal="center" shrinkToFit="0" vertical="center" wrapText="1"/>
    </xf>
    <xf borderId="5" fillId="9" fontId="2" numFmtId="0" xfId="0" applyAlignment="1" applyBorder="1" applyFont="1">
      <alignment horizontal="center" shrinkToFit="0" vertical="center" wrapText="1"/>
    </xf>
    <xf borderId="17" fillId="9" fontId="3" numFmtId="1" xfId="0" applyAlignment="1" applyBorder="1" applyFont="1" applyNumberFormat="1">
      <alignment horizontal="center" vertical="center"/>
    </xf>
    <xf borderId="1" fillId="9" fontId="3" numFmtId="164" xfId="0" applyAlignment="1" applyBorder="1" applyFont="1" applyNumberFormat="1">
      <alignment horizontal="center" vertical="center"/>
    </xf>
    <xf borderId="30" fillId="9" fontId="2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 vertical="center"/>
    </xf>
    <xf borderId="2" fillId="10" fontId="2" numFmtId="0" xfId="0" applyAlignment="1" applyBorder="1" applyFill="1" applyFont="1">
      <alignment shrinkToFit="0" vertical="center" wrapText="1"/>
    </xf>
    <xf borderId="1" fillId="10" fontId="2" numFmtId="0" xfId="0" applyAlignment="1" applyBorder="1" applyFont="1">
      <alignment shrinkToFit="0" vertical="center" wrapText="1"/>
    </xf>
    <xf borderId="2" fillId="10" fontId="2" numFmtId="0" xfId="0" applyAlignment="1" applyBorder="1" applyFont="1">
      <alignment horizontal="center" readingOrder="0" shrinkToFit="0" vertical="center" wrapText="1"/>
    </xf>
    <xf borderId="2" fillId="10" fontId="2" numFmtId="0" xfId="0" applyAlignment="1" applyBorder="1" applyFont="1">
      <alignment horizontal="center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17" fillId="10" fontId="3" numFmtId="1" xfId="0" applyAlignment="1" applyBorder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2" fillId="11" fontId="2" numFmtId="0" xfId="0" applyAlignment="1" applyBorder="1" applyFill="1" applyFont="1">
      <alignment shrinkToFit="0" vertical="center" wrapText="1"/>
    </xf>
    <xf borderId="1" fillId="11" fontId="2" numFmtId="0" xfId="0" applyAlignment="1" applyBorder="1" applyFont="1">
      <alignment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11" fontId="2" numFmtId="0" xfId="0" applyAlignment="1" applyBorder="1" applyFont="1">
      <alignment horizontal="center" shrinkToFit="0" vertical="center" wrapText="1"/>
    </xf>
    <xf borderId="5" fillId="11" fontId="2" numFmtId="0" xfId="0" applyAlignment="1" applyBorder="1" applyFont="1">
      <alignment horizontal="center" shrinkToFit="0" vertical="center" wrapText="1"/>
    </xf>
    <xf borderId="17" fillId="11" fontId="3" numFmtId="1" xfId="0" applyAlignment="1" applyBorder="1" applyFont="1" applyNumberFormat="1">
      <alignment horizontal="center" vertical="center"/>
    </xf>
    <xf borderId="1" fillId="11" fontId="3" numFmtId="164" xfId="0" applyAlignment="1" applyBorder="1" applyFont="1" applyNumberFormat="1">
      <alignment horizontal="center" vertical="center"/>
    </xf>
    <xf borderId="2" fillId="12" fontId="2" numFmtId="0" xfId="0" applyAlignment="1" applyBorder="1" applyFill="1" applyFont="1">
      <alignment shrinkToFit="0" vertical="center" wrapText="1"/>
    </xf>
    <xf borderId="1" fillId="12" fontId="2" numFmtId="0" xfId="0" applyAlignment="1" applyBorder="1" applyFont="1">
      <alignment shrinkToFit="0" vertical="center" wrapText="1"/>
    </xf>
    <xf borderId="2" fillId="12" fontId="2" numFmtId="0" xfId="0" applyAlignment="1" applyBorder="1" applyFont="1">
      <alignment horizontal="center" readingOrder="0" shrinkToFit="0" vertical="center" wrapText="1"/>
    </xf>
    <xf borderId="2" fillId="12" fontId="2" numFmtId="0" xfId="0" applyAlignment="1" applyBorder="1" applyFont="1">
      <alignment horizontal="center" shrinkToFit="0" vertical="center" wrapText="1"/>
    </xf>
    <xf borderId="5" fillId="12" fontId="2" numFmtId="0" xfId="0" applyAlignment="1" applyBorder="1" applyFont="1">
      <alignment horizontal="center" shrinkToFit="0" vertical="center" wrapText="1"/>
    </xf>
    <xf borderId="17" fillId="12" fontId="3" numFmtId="1" xfId="0" applyAlignment="1" applyBorder="1" applyFont="1" applyNumberFormat="1">
      <alignment horizontal="center" vertical="center"/>
    </xf>
    <xf borderId="1" fillId="12" fontId="3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31" fillId="0" fontId="10" numFmtId="0" xfId="0" applyAlignment="1" applyBorder="1" applyFont="1">
      <alignment shrinkToFit="0" vertical="center" wrapText="1"/>
    </xf>
    <xf borderId="1" fillId="6" fontId="3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  <xf borderId="4" fillId="13" fontId="10" numFmtId="0" xfId="0" applyAlignment="1" applyBorder="1" applyFill="1" applyFont="1">
      <alignment vertical="center"/>
    </xf>
    <xf borderId="3" fillId="13" fontId="3" numFmtId="0" xfId="0" applyBorder="1" applyFont="1"/>
    <xf borderId="1" fillId="13" fontId="3" numFmtId="0" xfId="0" applyBorder="1" applyFont="1"/>
    <xf borderId="1" fillId="13" fontId="3" numFmtId="0" xfId="0" applyAlignment="1" applyBorder="1" applyFont="1">
      <alignment horizontal="center" vertical="center"/>
    </xf>
    <xf borderId="32" fillId="13" fontId="3" numFmtId="0" xfId="0" applyAlignment="1" applyBorder="1" applyFont="1">
      <alignment horizontal="center" vertical="center"/>
    </xf>
    <xf borderId="17" fillId="13" fontId="3" numFmtId="1" xfId="0" applyAlignment="1" applyBorder="1" applyFont="1" applyNumberFormat="1">
      <alignment horizontal="center" vertical="center"/>
    </xf>
    <xf borderId="1" fillId="13" fontId="2" numFmtId="164" xfId="0" applyAlignment="1" applyBorder="1" applyFont="1" applyNumberFormat="1">
      <alignment horizontal="center" shrinkToFit="0" vertical="center" wrapText="1"/>
    </xf>
    <xf borderId="1" fillId="13" fontId="2" numFmtId="1" xfId="0" applyAlignment="1" applyBorder="1" applyFont="1" applyNumberFormat="1">
      <alignment horizontal="center" shrinkToFit="0" vertical="center" wrapText="1"/>
    </xf>
    <xf borderId="1" fillId="13" fontId="3" numFmtId="0" xfId="0" applyAlignment="1" applyBorder="1" applyFont="1">
      <alignment horizontal="center"/>
    </xf>
    <xf borderId="6" fillId="13" fontId="2" numFmtId="1" xfId="0" applyAlignment="1" applyBorder="1" applyFont="1" applyNumberFormat="1">
      <alignment horizontal="center" shrinkToFit="0" vertical="center" wrapText="1"/>
    </xf>
    <xf borderId="3" fillId="13" fontId="2" numFmtId="1" xfId="0" applyAlignment="1" applyBorder="1" applyFont="1" applyNumberFormat="1">
      <alignment horizontal="center" shrinkToFit="0" vertical="center" wrapText="1"/>
    </xf>
    <xf borderId="2" fillId="13" fontId="3" numFmtId="0" xfId="0" applyAlignment="1" applyBorder="1" applyFont="1">
      <alignment horizontal="center" vertical="center"/>
    </xf>
    <xf borderId="2" fillId="13" fontId="3" numFmtId="0" xfId="0" applyAlignment="1" applyBorder="1" applyFont="1">
      <alignment horizontal="center"/>
    </xf>
    <xf borderId="1" fillId="13" fontId="10" numFmtId="0" xfId="0" applyAlignment="1" applyBorder="1" applyFont="1">
      <alignment horizontal="center"/>
    </xf>
    <xf borderId="33" fillId="2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12" fillId="2" fontId="2" numFmtId="0" xfId="0" applyAlignment="1" applyBorder="1" applyFont="1">
      <alignment shrinkToFit="0" vertical="center" wrapText="1"/>
    </xf>
    <xf borderId="34" fillId="0" fontId="10" numFmtId="0" xfId="0" applyAlignment="1" applyBorder="1" applyFont="1">
      <alignment vertical="center"/>
    </xf>
    <xf borderId="35" fillId="2" fontId="2" numFmtId="0" xfId="0" applyAlignment="1" applyBorder="1" applyFont="1">
      <alignment shrinkToFit="0" vertical="center" wrapText="1"/>
    </xf>
    <xf borderId="36" fillId="2" fontId="2" numFmtId="0" xfId="0" applyAlignment="1" applyBorder="1" applyFont="1">
      <alignment shrinkToFit="0" vertical="center" wrapText="1"/>
    </xf>
    <xf borderId="36" fillId="2" fontId="2" numFmtId="0" xfId="0" applyAlignment="1" applyBorder="1" applyFont="1">
      <alignment horizontal="center" shrinkToFit="0" vertical="center" wrapText="1"/>
    </xf>
    <xf borderId="27" fillId="0" fontId="3" numFmtId="0" xfId="0" applyAlignment="1" applyBorder="1" applyFont="1">
      <alignment horizontal="center"/>
    </xf>
    <xf borderId="37" fillId="0" fontId="3" numFmtId="1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vertical="center"/>
    </xf>
    <xf borderId="27" fillId="6" fontId="3" numFmtId="164" xfId="0" applyAlignment="1" applyBorder="1" applyFont="1" applyNumberFormat="1">
      <alignment horizontal="center" vertical="center"/>
    </xf>
    <xf borderId="1" fillId="7" fontId="3" numFmtId="0" xfId="0" applyAlignment="1" applyBorder="1" applyFont="1">
      <alignment horizontal="center"/>
    </xf>
    <xf borderId="1" fillId="7" fontId="10" numFmtId="0" xfId="0" applyAlignment="1" applyBorder="1" applyFont="1">
      <alignment horizontal="center"/>
    </xf>
    <xf borderId="1" fillId="13" fontId="10" numFmtId="0" xfId="0" applyAlignment="1" applyBorder="1" applyFont="1">
      <alignment vertical="center"/>
    </xf>
    <xf borderId="1" fillId="13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1" xfId="0" applyAlignment="1" applyBorder="1" applyFont="1" applyNumberFormat="1">
      <alignment horizontal="center" vertical="center"/>
    </xf>
    <xf borderId="1" fillId="6" fontId="3" numFmtId="1" xfId="0" applyAlignment="1" applyBorder="1" applyFont="1" applyNumberFormat="1">
      <alignment horizontal="center" vertical="center"/>
    </xf>
    <xf borderId="1" fillId="8" fontId="3" numFmtId="164" xfId="0" applyAlignment="1" applyBorder="1" applyFont="1" applyNumberFormat="1">
      <alignment horizontal="center" vertical="center"/>
    </xf>
    <xf borderId="1" fillId="8" fontId="3" numFmtId="1" xfId="0" applyAlignment="1" applyBorder="1" applyFont="1" applyNumberForma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7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2" xfId="0" applyAlignment="1" applyBorder="1" applyFont="1" applyNumberFormat="1">
      <alignment horizontal="center" vertical="center"/>
    </xf>
    <xf borderId="1" fillId="6" fontId="3" numFmtId="2" xfId="0" applyAlignment="1" applyBorder="1" applyFont="1" applyNumberFormat="1">
      <alignment horizontal="center" vertical="center"/>
    </xf>
    <xf borderId="1" fillId="2" fontId="17" numFmtId="0" xfId="0" applyAlignment="1" applyBorder="1" applyFont="1">
      <alignment shrinkToFit="0" wrapText="1"/>
    </xf>
    <xf borderId="1" fillId="11" fontId="10" numFmtId="0" xfId="0" applyAlignment="1" applyBorder="1" applyFont="1">
      <alignment vertical="center"/>
    </xf>
    <xf borderId="1" fillId="11" fontId="2" numFmtId="1" xfId="0" applyAlignment="1" applyBorder="1" applyFont="1" applyNumberFormat="1">
      <alignment shrinkToFit="0" vertical="center" wrapText="1"/>
    </xf>
    <xf borderId="1" fillId="11" fontId="3" numFmtId="0" xfId="0" applyBorder="1" applyFont="1"/>
    <xf borderId="1" fillId="11" fontId="3" numFmtId="0" xfId="0" applyAlignment="1" applyBorder="1" applyFont="1">
      <alignment horizontal="center"/>
    </xf>
    <xf borderId="1" fillId="11" fontId="3" numFmtId="164" xfId="0" applyAlignment="1" applyBorder="1" applyFont="1" applyNumberFormat="1">
      <alignment horizontal="center"/>
    </xf>
    <xf borderId="1" fillId="11" fontId="3" numFmtId="1" xfId="0" applyAlignment="1" applyBorder="1" applyFont="1" applyNumberFormat="1">
      <alignment horizontal="center"/>
    </xf>
    <xf borderId="1" fillId="8" fontId="3" numFmtId="1" xfId="0" applyAlignment="1" applyBorder="1" applyFont="1" applyNumberFormat="1">
      <alignment horizontal="center"/>
    </xf>
    <xf borderId="1" fillId="5" fontId="3" numFmtId="1" xfId="0" applyAlignment="1" applyBorder="1" applyFont="1" applyNumberFormat="1">
      <alignment horizontal="center"/>
    </xf>
    <xf borderId="1" fillId="8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8" fontId="16" numFmtId="164" xfId="0" applyAlignment="1" applyBorder="1" applyFont="1" applyNumberFormat="1">
      <alignment horizontal="center"/>
    </xf>
    <xf borderId="1" fillId="8" fontId="16" numFmtId="0" xfId="0" applyAlignment="1" applyBorder="1" applyFont="1">
      <alignment horizontal="center"/>
    </xf>
    <xf borderId="38" fillId="14" fontId="10" numFmtId="0" xfId="0" applyAlignment="1" applyBorder="1" applyFill="1" applyFont="1">
      <alignment vertical="center"/>
    </xf>
    <xf borderId="38" fillId="14" fontId="3" numFmtId="0" xfId="0" applyBorder="1" applyFont="1"/>
    <xf borderId="38" fillId="14" fontId="3" numFmtId="0" xfId="0" applyAlignment="1" applyBorder="1" applyFont="1">
      <alignment horizontal="center"/>
    </xf>
    <xf borderId="39" fillId="14" fontId="3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30" fillId="14" fontId="3" numFmtId="0" xfId="0" applyAlignment="1" applyBorder="1" applyFont="1">
      <alignment horizontal="center"/>
    </xf>
    <xf borderId="38" fillId="14" fontId="3" numFmtId="164" xfId="0" applyAlignment="1" applyBorder="1" applyFont="1" applyNumberFormat="1">
      <alignment horizontal="center"/>
    </xf>
    <xf borderId="40" fillId="14" fontId="16" numFmtId="0" xfId="0" applyAlignment="1" applyBorder="1" applyFont="1">
      <alignment horizontal="center"/>
    </xf>
    <xf borderId="38" fillId="14" fontId="16" numFmtId="1" xfId="0" applyAlignment="1" applyBorder="1" applyFont="1" applyNumberFormat="1">
      <alignment horizontal="center"/>
    </xf>
    <xf borderId="3" fillId="14" fontId="3" numFmtId="0" xfId="0" applyBorder="1" applyFont="1"/>
    <xf borderId="3" fillId="14" fontId="10" numFmtId="0" xfId="0" applyAlignment="1" applyBorder="1" applyFont="1">
      <alignment vertical="center"/>
    </xf>
    <xf borderId="3" fillId="14" fontId="3" numFmtId="0" xfId="0" applyAlignment="1" applyBorder="1" applyFont="1">
      <alignment horizontal="center"/>
    </xf>
    <xf borderId="41" fillId="14" fontId="3" numFmtId="0" xfId="0" applyAlignment="1" applyBorder="1" applyFont="1">
      <alignment horizontal="center"/>
    </xf>
    <xf borderId="6" fillId="14" fontId="3" numFmtId="0" xfId="0" applyAlignment="1" applyBorder="1" applyFont="1">
      <alignment horizontal="center"/>
    </xf>
    <xf borderId="3" fillId="14" fontId="3" numFmtId="164" xfId="0" applyAlignment="1" applyBorder="1" applyFont="1" applyNumberFormat="1">
      <alignment horizontal="center"/>
    </xf>
    <xf borderId="13" fillId="14" fontId="16" numFmtId="0" xfId="0" applyAlignment="1" applyBorder="1" applyFont="1">
      <alignment horizontal="center"/>
    </xf>
    <xf borderId="13" fillId="13" fontId="16" numFmtId="0" xfId="0" applyAlignment="1" applyBorder="1" applyFont="1">
      <alignment horizontal="center"/>
    </xf>
    <xf borderId="13" fillId="14" fontId="16" numFmtId="10" xfId="0" applyAlignment="1" applyBorder="1" applyFont="1" applyNumberFormat="1">
      <alignment horizontal="center"/>
    </xf>
    <xf borderId="3" fillId="14" fontId="16" numFmtId="10" xfId="0" applyAlignment="1" applyBorder="1" applyFont="1" applyNumberFormat="1">
      <alignment horizontal="center"/>
    </xf>
    <xf borderId="0" fillId="0" fontId="3" numFmtId="0" xfId="0" applyFont="1"/>
    <xf borderId="0" fillId="0" fontId="14" numFmtId="0" xfId="0" applyFont="1"/>
    <xf borderId="0" fillId="0" fontId="16" numFmtId="10" xfId="0" applyFont="1" applyNumberFormat="1"/>
    <xf borderId="0" fillId="0" fontId="5" numFmtId="0" xfId="0" applyFont="1"/>
    <xf borderId="0" fillId="0" fontId="3" numFmtId="9" xfId="0" applyFont="1" applyNumberFormat="1"/>
    <xf borderId="0" fillId="0" fontId="3" numFmtId="165" xfId="0" applyFont="1" applyNumberFormat="1"/>
    <xf borderId="5" fillId="0" fontId="2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30" fillId="0" fontId="2" numFmtId="0" xfId="0" applyAlignment="1" applyBorder="1" applyFont="1">
      <alignment shrinkToFit="0" vertical="center" wrapText="1"/>
    </xf>
    <xf borderId="1" fillId="15" fontId="14" numFmtId="0" xfId="0" applyBorder="1" applyFill="1" applyFont="1"/>
    <xf borderId="5" fillId="0" fontId="10" numFmtId="0" xfId="0" applyAlignment="1" applyBorder="1" applyFont="1">
      <alignment vertical="center"/>
    </xf>
    <xf borderId="42" fillId="0" fontId="7" numFmtId="0" xfId="0" applyBorder="1" applyFont="1"/>
    <xf borderId="1" fillId="0" fontId="18" numFmtId="0" xfId="0" applyAlignment="1" applyBorder="1" applyFont="1">
      <alignment vertical="center"/>
    </xf>
    <xf borderId="1" fillId="0" fontId="18" numFmtId="0" xfId="0" applyAlignment="1" applyBorder="1" applyFont="1">
      <alignment shrinkToFit="0" vertical="center" wrapText="1"/>
    </xf>
    <xf borderId="1" fillId="0" fontId="18" numFmtId="0" xfId="0" applyBorder="1" applyFont="1"/>
    <xf borderId="1" fillId="0" fontId="18" numFmtId="0" xfId="0" applyAlignment="1" applyBorder="1" applyFont="1">
      <alignment shrinkToFit="0" wrapText="1"/>
    </xf>
    <xf borderId="1" fillId="2" fontId="19" numFmtId="0" xfId="0" applyAlignment="1" applyBorder="1" applyFont="1">
      <alignment shrinkToFit="0" wrapText="1"/>
    </xf>
    <xf borderId="1" fillId="13" fontId="18" numFmtId="0" xfId="0" applyBorder="1" applyFont="1"/>
    <xf borderId="1" fillId="11" fontId="18" numFmtId="1" xfId="0" applyAlignment="1" applyBorder="1" applyFont="1" applyNumberFormat="1">
      <alignment shrinkToFit="0" vertical="center" wrapText="1"/>
    </xf>
    <xf borderId="1" fillId="0" fontId="18" numFmtId="0" xfId="0" applyBorder="1" applyFont="1"/>
    <xf borderId="13" fillId="6" fontId="5" numFmtId="0" xfId="0" applyAlignment="1" applyBorder="1" applyFont="1">
      <alignment readingOrder="0"/>
    </xf>
    <xf borderId="25" fillId="6" fontId="5" numFmtId="0" xfId="0" applyBorder="1" applyFont="1"/>
    <xf borderId="1" fillId="2" fontId="1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2" fillId="8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2" fillId="2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/>
    </xf>
    <xf borderId="17" fillId="3" fontId="3" numFmtId="1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2" fillId="3" fontId="3" numFmtId="1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1" fillId="2" fontId="1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13" fontId="3" numFmtId="164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shrinkToFit="0" vertical="center" wrapText="1"/>
    </xf>
    <xf borderId="1" fillId="2" fontId="13" numFmtId="0" xfId="0" applyAlignment="1" applyBorder="1" applyFont="1">
      <alignment horizontal="center" readingOrder="0" shrinkToFit="0" vertical="center" wrapText="1"/>
    </xf>
    <xf borderId="5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7" fillId="0" fontId="13" numFmtId="1" xfId="0" applyAlignment="1" applyBorder="1" applyFont="1" applyNumberFormat="1">
      <alignment horizontal="center" vertical="center"/>
    </xf>
    <xf borderId="1" fillId="0" fontId="13" numFmtId="164" xfId="0" applyAlignment="1" applyBorder="1" applyFont="1" applyNumberFormat="1">
      <alignment horizontal="center" vertical="center"/>
    </xf>
    <xf borderId="2" fillId="8" fontId="13" numFmtId="1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12" fillId="8" fontId="2" numFmtId="0" xfId="0" applyAlignment="1" applyBorder="1" applyFont="1">
      <alignment readingOrder="0" shrinkToFit="0" vertical="center" wrapText="1"/>
    </xf>
    <xf borderId="12" fillId="8" fontId="2" numFmtId="0" xfId="0" applyAlignment="1" applyBorder="1" applyFont="1">
      <alignment shrinkToFit="0" vertical="center" wrapText="1"/>
    </xf>
    <xf borderId="36" fillId="2" fontId="2" numFmtId="0" xfId="0" applyAlignment="1" applyBorder="1" applyFont="1">
      <alignment horizontal="center" readingOrder="0" shrinkToFit="0" vertical="center" wrapText="1"/>
    </xf>
    <xf borderId="36" fillId="2" fontId="13" numFmtId="0" xfId="0" applyAlignment="1" applyBorder="1" applyFont="1">
      <alignment horizontal="center" readingOrder="0" shrinkToFit="0" vertical="center" wrapText="1"/>
    </xf>
    <xf borderId="36" fillId="2" fontId="13" numFmtId="0" xfId="0" applyAlignment="1" applyBorder="1" applyFont="1">
      <alignment horizontal="center" shrinkToFit="0" vertical="center" wrapText="1"/>
    </xf>
    <xf borderId="0" fillId="0" fontId="3" numFmtId="1" xfId="0" applyAlignment="1" applyFont="1" applyNumberFormat="1">
      <alignment horizontal="center" readingOrder="0" vertical="center"/>
    </xf>
    <xf borderId="5" fillId="5" fontId="18" numFmtId="0" xfId="0" applyAlignment="1" applyBorder="1" applyFont="1">
      <alignment horizontal="center" readingOrder="0" vertical="center"/>
    </xf>
    <xf borderId="42" fillId="5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1" fillId="0" fontId="13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0" fontId="13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shrinkToFit="0" wrapText="1"/>
    </xf>
    <xf borderId="1" fillId="13" fontId="13" numFmtId="0" xfId="0" applyAlignment="1" applyBorder="1" applyFont="1">
      <alignment horizontal="center" shrinkToFit="0" vertical="center" wrapText="1"/>
    </xf>
    <xf borderId="1" fillId="13" fontId="18" numFmtId="0" xfId="0" applyAlignment="1" applyBorder="1" applyFont="1">
      <alignment horizontal="left" readingOrder="0" shrinkToFit="0" vertical="center" wrapText="1"/>
    </xf>
    <xf borderId="36" fillId="13" fontId="2" numFmtId="0" xfId="0" applyAlignment="1" applyBorder="1" applyFont="1">
      <alignment readingOrder="0" shrinkToFit="0" vertical="center" wrapText="1"/>
    </xf>
    <xf borderId="1" fillId="13" fontId="3" numFmtId="0" xfId="0" applyAlignment="1" applyBorder="1" applyFont="1">
      <alignment horizontal="center" readingOrder="0" vertical="center"/>
    </xf>
    <xf borderId="1" fillId="13" fontId="3" numFmtId="1" xfId="0" applyAlignment="1" applyBorder="1" applyFont="1" applyNumberFormat="1">
      <alignment horizontal="center" readingOrder="0" vertical="center"/>
    </xf>
    <xf borderId="1" fillId="13" fontId="3" numFmtId="16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36" fillId="5" fontId="2" numFmtId="0" xfId="0" applyAlignment="1" applyBorder="1" applyFont="1">
      <alignment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vertical="center"/>
    </xf>
    <xf borderId="1" fillId="5" fontId="3" numFmtId="1" xfId="0" applyAlignment="1" applyBorder="1" applyFont="1" applyNumberFormat="1">
      <alignment horizontal="center" vertical="center"/>
    </xf>
    <xf borderId="1" fillId="5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/>
    </xf>
    <xf borderId="36" fillId="0" fontId="3" numFmtId="0" xfId="0" applyAlignment="1" applyBorder="1" applyFont="1">
      <alignment horizontal="center" readingOrder="0"/>
    </xf>
    <xf borderId="1" fillId="13" fontId="18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readingOrder="0" vertical="center"/>
    </xf>
    <xf borderId="36" fillId="2" fontId="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5" fontId="18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0" fontId="18" numFmtId="0" xfId="0" applyAlignment="1" applyBorder="1" applyFont="1">
      <alignment shrinkToFit="0" vertical="top" wrapText="1"/>
    </xf>
    <xf borderId="1" fillId="0" fontId="18" numFmtId="0" xfId="0" applyAlignment="1" applyBorder="1" applyFont="1">
      <alignment readingOrder="0" shrinkToFit="0" vertical="top" wrapText="1"/>
    </xf>
    <xf borderId="1" fillId="8" fontId="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shrinkToFit="0" vertical="top" wrapText="1"/>
    </xf>
    <xf borderId="1" fillId="0" fontId="13" numFmtId="0" xfId="0" applyAlignment="1" applyBorder="1" applyFont="1">
      <alignment readingOrder="0" shrinkToFit="0" vertical="top" wrapText="1"/>
    </xf>
    <xf borderId="1" fillId="13" fontId="13" numFmtId="0" xfId="0" applyAlignment="1" applyBorder="1" applyFont="1">
      <alignment horizontal="left" shrinkToFit="0" vertical="center" wrapText="1"/>
    </xf>
    <xf borderId="1" fillId="5" fontId="13" numFmtId="49" xfId="0" applyAlignment="1" applyBorder="1" applyFont="1" applyNumberFormat="1">
      <alignment readingOrder="0" shrinkToFit="0" wrapText="1"/>
    </xf>
    <xf borderId="1" fillId="0" fontId="13" numFmtId="49" xfId="0" applyAlignment="1" applyBorder="1" applyFont="1" applyNumberFormat="1">
      <alignment shrinkToFit="0" wrapText="1"/>
    </xf>
    <xf borderId="36" fillId="0" fontId="2" numFmtId="0" xfId="0" applyAlignment="1" applyBorder="1" applyFont="1">
      <alignment horizontal="center" readingOrder="0" shrinkToFit="0" vertical="center" wrapText="1"/>
    </xf>
    <xf borderId="1" fillId="0" fontId="13" numFmtId="49" xfId="0" applyAlignment="1" applyBorder="1" applyFont="1" applyNumberFormat="1">
      <alignment readingOrder="0" shrinkToFit="0" wrapText="1"/>
    </xf>
    <xf borderId="1" fillId="0" fontId="13" numFmtId="49" xfId="0" applyAlignment="1" applyBorder="1" applyFont="1" applyNumberFormat="1">
      <alignment shrinkToFit="0" vertical="top" wrapText="1"/>
    </xf>
    <xf borderId="1" fillId="0" fontId="13" numFmtId="49" xfId="0" applyAlignment="1" applyBorder="1" applyFont="1" applyNumberFormat="1">
      <alignment readingOrder="0" shrinkToFit="0" vertical="top" wrapText="1"/>
    </xf>
    <xf borderId="1" fillId="5" fontId="18" numFmtId="49" xfId="0" applyAlignment="1" applyBorder="1" applyFont="1" applyNumberFormat="1">
      <alignment horizontal="left" readingOrder="0" shrinkToFit="0" vertical="center" wrapText="1"/>
    </xf>
    <xf borderId="0" fillId="0" fontId="18" numFmtId="0" xfId="0" applyAlignment="1" applyFont="1">
      <alignment shrinkToFit="0" wrapText="1"/>
    </xf>
    <xf borderId="0" fillId="0" fontId="18" numFmtId="0" xfId="0" applyAlignment="1" applyFont="1">
      <alignment readingOrder="0" shrinkToFit="0" wrapText="1"/>
    </xf>
    <xf borderId="1" fillId="0" fontId="13" numFmtId="0" xfId="0" applyAlignment="1" applyBorder="1" applyFont="1">
      <alignment horizontal="center" shrinkToFit="0" vertical="top" wrapText="1"/>
    </xf>
    <xf borderId="36" fillId="0" fontId="13" numFmtId="0" xfId="0" applyAlignment="1" applyBorder="1" applyFont="1">
      <alignment horizontal="center" shrinkToFit="0" vertical="center" wrapText="1"/>
    </xf>
    <xf borderId="36" fillId="5" fontId="18" numFmtId="0" xfId="0" applyAlignment="1" applyBorder="1" applyFont="1">
      <alignment readingOrder="0" shrinkToFit="0" vertical="center" wrapText="1"/>
    </xf>
    <xf borderId="36" fillId="5" fontId="3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shrinkToFit="0" wrapText="1"/>
    </xf>
    <xf borderId="36" fillId="0" fontId="3" numFmtId="0" xfId="0" applyAlignment="1" applyBorder="1" applyFont="1">
      <alignment horizontal="center" readingOrder="0" vertical="center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shrinkToFit="0" vertical="bottom" wrapText="1"/>
    </xf>
    <xf borderId="0" fillId="0" fontId="18" numFmtId="0" xfId="0" applyAlignment="1" applyFont="1">
      <alignment shrinkToFit="0" wrapText="1"/>
    </xf>
    <xf borderId="36" fillId="0" fontId="13" numFmtId="0" xfId="0" applyAlignment="1" applyBorder="1" applyFont="1">
      <alignment horizontal="center" shrinkToFit="0" vertical="top" wrapText="1"/>
    </xf>
    <xf borderId="36" fillId="13" fontId="13" numFmtId="0" xfId="0" applyAlignment="1" applyBorder="1" applyFont="1">
      <alignment horizontal="center" shrinkToFit="0" vertical="center" wrapText="1"/>
    </xf>
    <xf borderId="36" fillId="13" fontId="18" numFmtId="0" xfId="0" applyAlignment="1" applyBorder="1" applyFont="1">
      <alignment readingOrder="0" shrinkToFit="0" vertical="center" wrapText="1"/>
    </xf>
    <xf borderId="36" fillId="13" fontId="3" numFmtId="0" xfId="0" applyAlignment="1" applyBorder="1" applyFont="1">
      <alignment horizontal="center" readingOrder="0" vertical="center"/>
    </xf>
    <xf borderId="36" fillId="13" fontId="3" numFmtId="1" xfId="0" applyAlignment="1" applyBorder="1" applyFont="1" applyNumberFormat="1">
      <alignment horizontal="center" readingOrder="0" vertical="center"/>
    </xf>
    <xf borderId="36" fillId="13" fontId="3" numFmtId="164" xfId="0" applyAlignment="1" applyBorder="1" applyFont="1" applyNumberFormat="1">
      <alignment horizontal="center" readingOrder="0" vertical="center"/>
    </xf>
    <xf borderId="36" fillId="11" fontId="10" numFmtId="0" xfId="0" applyAlignment="1" applyBorder="1" applyFont="1">
      <alignment vertical="center"/>
    </xf>
    <xf borderId="36" fillId="11" fontId="18" numFmtId="1" xfId="0" applyAlignment="1" applyBorder="1" applyFont="1" applyNumberFormat="1">
      <alignment shrinkToFit="0" vertical="center" wrapText="1"/>
    </xf>
    <xf borderId="36" fillId="11" fontId="3" numFmtId="0" xfId="0" applyBorder="1" applyFont="1"/>
    <xf borderId="36" fillId="11" fontId="3" numFmtId="0" xfId="0" applyAlignment="1" applyBorder="1" applyFont="1">
      <alignment horizontal="center"/>
    </xf>
    <xf borderId="36" fillId="11" fontId="3" numFmtId="1" xfId="0" applyAlignment="1" applyBorder="1" applyFont="1" applyNumberFormat="1">
      <alignment horizontal="center"/>
    </xf>
    <xf borderId="36" fillId="11" fontId="3" numFmtId="4" xfId="0" applyAlignment="1" applyBorder="1" applyFont="1" applyNumberFormat="1">
      <alignment horizontal="center"/>
    </xf>
    <xf borderId="0" fillId="0" fontId="3" numFmtId="1" xfId="0" applyAlignment="1" applyFont="1" applyNumberFormat="1">
      <alignment horizontal="center"/>
    </xf>
    <xf borderId="0" fillId="0" fontId="14" numFmtId="4" xfId="0" applyFont="1" applyNumberFormat="1"/>
    <xf borderId="0" fillId="0" fontId="14" numFmtId="0" xfId="0" applyAlignment="1" applyFont="1">
      <alignment readingOrder="0"/>
    </xf>
    <xf borderId="0" fillId="0" fontId="14" numFmtId="4" xfId="0" applyAlignment="1" applyFont="1" applyNumberFormat="1">
      <alignment readingOrder="0"/>
    </xf>
    <xf borderId="0" fillId="16" fontId="14" numFmtId="4" xfId="0" applyFill="1" applyFont="1" applyNumberFormat="1"/>
    <xf borderId="0" fillId="0" fontId="14" numFmtId="164" xfId="0" applyFont="1" applyNumberFormat="1"/>
    <xf borderId="43" fillId="0" fontId="14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0" fontId="18" numFmtId="0" xfId="0" applyAlignment="1" applyFont="1">
      <alignment horizontal="right" vertical="bottom"/>
    </xf>
    <xf borderId="0" fillId="0" fontId="19" numFmtId="0" xfId="0" applyAlignment="1" applyFont="1">
      <alignment horizontal="center" vertical="bottom"/>
    </xf>
    <xf borderId="36" fillId="0" fontId="19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vertical="center"/>
    </xf>
    <xf borderId="43" fillId="0" fontId="7" numFmtId="0" xfId="0" applyBorder="1" applyFont="1"/>
    <xf borderId="44" fillId="0" fontId="19" numFmtId="0" xfId="0" applyAlignment="1" applyBorder="1" applyFont="1">
      <alignment horizontal="center" readingOrder="0" shrinkToFit="0" vertical="center" wrapText="1"/>
    </xf>
    <xf borderId="1" fillId="8" fontId="18" numFmtId="0" xfId="0" applyAlignment="1" applyBorder="1" applyFont="1">
      <alignment horizontal="center" vertical="center"/>
    </xf>
    <xf borderId="1" fillId="8" fontId="18" numFmtId="0" xfId="0" applyAlignment="1" applyBorder="1" applyFont="1">
      <alignment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8" fontId="18" numFmtId="1" xfId="0" applyAlignment="1" applyBorder="1" applyFont="1" applyNumberFormat="1">
      <alignment horizontal="center" shrinkToFit="0" vertical="center" wrapText="1"/>
    </xf>
    <xf borderId="1" fillId="8" fontId="16" numFmtId="0" xfId="0" applyAlignment="1" applyBorder="1" applyFont="1">
      <alignment vertical="center"/>
    </xf>
    <xf borderId="1" fillId="8" fontId="18" numFmtId="4" xfId="0" applyAlignment="1" applyBorder="1" applyFont="1" applyNumberFormat="1">
      <alignment horizontal="center" shrinkToFit="0" vertical="center" wrapText="1"/>
    </xf>
    <xf borderId="1" fillId="2" fontId="16" numFmtId="4" xfId="0" applyAlignment="1" applyBorder="1" applyFont="1" applyNumberFormat="1">
      <alignment vertical="bottom"/>
    </xf>
    <xf borderId="1" fillId="8" fontId="18" numFmtId="3" xfId="0" applyAlignment="1" applyBorder="1" applyFont="1" applyNumberFormat="1">
      <alignment horizontal="center" shrinkToFit="0" vertical="center" wrapText="1"/>
    </xf>
    <xf borderId="1" fillId="8" fontId="18" numFmtId="0" xfId="0" applyAlignment="1" applyBorder="1" applyFont="1">
      <alignment vertical="center"/>
    </xf>
    <xf borderId="1" fillId="8" fontId="21" numFmtId="0" xfId="0" applyAlignment="1" applyBorder="1" applyFont="1">
      <alignment horizontal="center" readingOrder="0" vertical="center"/>
    </xf>
    <xf borderId="1" fillId="8" fontId="18" numFmtId="0" xfId="0" applyAlignment="1" applyBorder="1" applyFont="1">
      <alignment horizontal="center" readingOrder="0" vertical="center"/>
    </xf>
    <xf borderId="17" fillId="8" fontId="16" numFmtId="1" xfId="0" applyAlignment="1" applyBorder="1" applyFont="1" applyNumberFormat="1">
      <alignment vertical="center"/>
    </xf>
    <xf borderId="1" fillId="8" fontId="18" numFmtId="0" xfId="0" applyAlignment="1" applyBorder="1" applyFont="1">
      <alignment readingOrder="0" shrinkToFit="0" vertical="center" wrapText="1"/>
    </xf>
    <xf borderId="0" fillId="8" fontId="16" numFmtId="0" xfId="0" applyAlignment="1" applyFont="1">
      <alignment vertical="center"/>
    </xf>
    <xf borderId="0" fillId="5" fontId="14" numFmtId="4" xfId="0" applyFont="1" applyNumberFormat="1"/>
    <xf borderId="1" fillId="2" fontId="18" numFmtId="0" xfId="0" applyAlignment="1" applyBorder="1" applyFont="1">
      <alignment horizontal="center" vertical="center"/>
    </xf>
    <xf borderId="1" fillId="2" fontId="18" numFmtId="0" xfId="0" applyAlignment="1" applyBorder="1" applyFont="1">
      <alignment readingOrder="0" shrinkToFit="0" vertical="center" wrapText="1"/>
    </xf>
    <xf borderId="1" fillId="2" fontId="18" numFmtId="0" xfId="0" applyAlignment="1" applyBorder="1" applyFont="1">
      <alignment horizontal="center" readingOrder="0" vertical="center"/>
    </xf>
    <xf borderId="17" fillId="2" fontId="16" numFmtId="1" xfId="0" applyAlignment="1" applyBorder="1" applyFont="1" applyNumberFormat="1">
      <alignment vertical="center"/>
    </xf>
    <xf borderId="0" fillId="2" fontId="16" numFmtId="0" xfId="0" applyAlignment="1" applyFont="1">
      <alignment vertical="center"/>
    </xf>
    <xf borderId="1" fillId="2" fontId="18" numFmtId="4" xfId="0" applyAlignment="1" applyBorder="1" applyFont="1" applyNumberFormat="1">
      <alignment horizontal="center" shrinkToFit="0" vertical="center" wrapText="1"/>
    </xf>
    <xf borderId="0" fillId="2" fontId="14" numFmtId="0" xfId="0" applyFont="1"/>
    <xf borderId="1" fillId="2" fontId="18" numFmtId="0" xfId="0" applyAlignment="1" applyBorder="1" applyFont="1">
      <alignment shrinkToFit="0" vertical="center" wrapText="1"/>
    </xf>
    <xf borderId="1" fillId="2" fontId="16" numFmtId="0" xfId="0" applyAlignment="1" applyBorder="1" applyFont="1">
      <alignment vertical="center"/>
    </xf>
    <xf borderId="1" fillId="2" fontId="18" numFmtId="3" xfId="0" applyAlignment="1" applyBorder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shrinkToFit="0" vertical="center" wrapText="1"/>
    </xf>
    <xf borderId="1" fillId="0" fontId="18" numFmtId="164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7" fillId="0" fontId="18" numFmtId="1" xfId="0" applyAlignment="1" applyBorder="1" applyFont="1" applyNumberFormat="1">
      <alignment horizontal="center" vertical="center"/>
    </xf>
    <xf borderId="0" fillId="0" fontId="14" numFmtId="0" xfId="0" applyAlignment="1" applyFont="1">
      <alignment vertical="center"/>
    </xf>
    <xf borderId="1" fillId="0" fontId="18" numFmtId="1" xfId="0" applyAlignment="1" applyBorder="1" applyFont="1" applyNumberForma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vertical="bottom"/>
    </xf>
    <xf borderId="1" fillId="0" fontId="22" numFmtId="0" xfId="0" applyAlignment="1" applyBorder="1" applyFont="1">
      <alignment vertical="center"/>
    </xf>
    <xf borderId="30" fillId="0" fontId="18" numFmtId="0" xfId="0" applyAlignment="1" applyBorder="1" applyFont="1">
      <alignment shrinkToFit="0" vertical="center" wrapText="1"/>
    </xf>
    <xf borderId="2" fillId="0" fontId="18" numFmtId="0" xfId="0" applyAlignment="1" applyBorder="1" applyFont="1">
      <alignment shrinkToFit="0" vertical="center" wrapText="1"/>
    </xf>
    <xf borderId="5" fillId="0" fontId="18" numFmtId="0" xfId="0" applyAlignment="1" applyBorder="1" applyFont="1">
      <alignment shrinkToFit="0" vertical="center" wrapText="1"/>
    </xf>
    <xf borderId="33" fillId="2" fontId="18" numFmtId="0" xfId="0" applyAlignment="1" applyBorder="1" applyFont="1">
      <alignment shrinkToFit="0" vertical="center" wrapText="1"/>
    </xf>
    <xf borderId="12" fillId="2" fontId="18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bottom"/>
    </xf>
    <xf borderId="0" fillId="0" fontId="18" numFmtId="1" xfId="0" applyAlignment="1" applyFont="1" applyNumberFormat="1">
      <alignment horizontal="right"/>
    </xf>
    <xf borderId="0" fillId="0" fontId="1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5.75"/>
    <col customWidth="1" min="2" max="2" width="28.63"/>
    <col customWidth="1" min="3" max="3" width="12.0"/>
    <col customWidth="1" min="4" max="5" width="9.63"/>
    <col customWidth="1" min="6" max="6" width="9.75"/>
    <col customWidth="1" min="7" max="9" width="9.63"/>
    <col customWidth="1" min="10" max="10" width="9.13"/>
    <col customWidth="1" min="11" max="11" width="12.25"/>
    <col customWidth="1" min="12" max="12" width="10.13"/>
    <col customWidth="1" min="13" max="13" width="11.63"/>
    <col customWidth="1" min="14" max="14" width="10.63"/>
    <col customWidth="1" min="15" max="15" width="10.25"/>
    <col customWidth="1" min="16" max="17" width="9.63"/>
  </cols>
  <sheetData>
    <row r="1" ht="12.75" customHeight="1">
      <c r="A1" s="1"/>
      <c r="B1" s="1"/>
      <c r="C1" s="1"/>
      <c r="D1" s="1"/>
      <c r="E1" s="1"/>
      <c r="F1" s="2"/>
      <c r="G1" s="3"/>
      <c r="H1" s="3"/>
      <c r="I1" s="3"/>
      <c r="J1" s="3"/>
      <c r="K1" s="4"/>
      <c r="L1" s="4"/>
      <c r="M1" s="4"/>
      <c r="N1" s="4"/>
      <c r="O1" s="5"/>
      <c r="P1" s="4"/>
      <c r="Q1" s="6"/>
    </row>
    <row r="2" ht="40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12</v>
      </c>
      <c r="N2" s="7" t="s">
        <v>13</v>
      </c>
      <c r="O2" s="8" t="s">
        <v>14</v>
      </c>
      <c r="P2" s="9"/>
      <c r="Q2" s="6"/>
    </row>
    <row r="3" ht="15.75" customHeight="1">
      <c r="A3" s="10"/>
      <c r="B3" s="10"/>
      <c r="C3" s="10"/>
      <c r="D3" s="10"/>
      <c r="E3" s="11"/>
      <c r="F3" s="12"/>
      <c r="G3" s="12"/>
      <c r="H3" s="12"/>
      <c r="I3" s="12"/>
      <c r="J3" s="12"/>
      <c r="K3" s="13"/>
      <c r="L3" s="14"/>
      <c r="M3" s="10"/>
      <c r="N3" s="10"/>
      <c r="O3" s="10"/>
      <c r="P3" s="4"/>
      <c r="Q3" s="6"/>
    </row>
    <row r="4" ht="15.75" hidden="1" customHeight="1">
      <c r="A4" s="10" t="s">
        <v>15</v>
      </c>
      <c r="B4" s="10" t="s">
        <v>16</v>
      </c>
      <c r="C4" s="10"/>
      <c r="D4" s="10" t="s">
        <v>17</v>
      </c>
      <c r="E4" s="11">
        <v>2700.0</v>
      </c>
      <c r="F4" s="12">
        <f>2*5</f>
        <v>10</v>
      </c>
      <c r="G4" s="12">
        <v>70.0</v>
      </c>
      <c r="H4" s="12">
        <v>50.0</v>
      </c>
      <c r="I4" s="12">
        <v>60.0</v>
      </c>
      <c r="J4" s="12"/>
      <c r="K4" s="13"/>
      <c r="L4" s="14"/>
      <c r="M4" s="10"/>
      <c r="N4" s="10"/>
      <c r="O4" s="10"/>
      <c r="P4" s="4"/>
      <c r="Q4" s="6"/>
    </row>
    <row r="5" ht="15.75" hidden="1" customHeight="1">
      <c r="A5" s="10" t="s">
        <v>18</v>
      </c>
      <c r="B5" s="10" t="s">
        <v>19</v>
      </c>
      <c r="C5" s="10"/>
      <c r="D5" s="10" t="s">
        <v>17</v>
      </c>
      <c r="E5" s="11">
        <v>2700.0</v>
      </c>
      <c r="F5" s="12">
        <v>4.0</v>
      </c>
      <c r="G5" s="12">
        <v>126.0</v>
      </c>
      <c r="H5" s="12">
        <v>40.0</v>
      </c>
      <c r="I5" s="12"/>
      <c r="J5" s="12"/>
      <c r="K5" s="13"/>
      <c r="L5" s="14"/>
      <c r="M5" s="10"/>
      <c r="N5" s="10"/>
      <c r="O5" s="10"/>
      <c r="P5" s="4"/>
      <c r="Q5" s="6"/>
    </row>
    <row r="6" ht="15.75" customHeight="1">
      <c r="A6" s="10" t="s">
        <v>15</v>
      </c>
      <c r="B6" s="15" t="s">
        <v>20</v>
      </c>
      <c r="C6" s="15"/>
      <c r="D6" s="10" t="s">
        <v>17</v>
      </c>
      <c r="E6" s="11" t="s">
        <v>21</v>
      </c>
      <c r="F6" s="12" t="s">
        <v>17</v>
      </c>
      <c r="G6" s="12" t="s">
        <v>17</v>
      </c>
      <c r="H6" s="12" t="s">
        <v>17</v>
      </c>
      <c r="I6" s="12" t="s">
        <v>17</v>
      </c>
      <c r="J6" s="12">
        <v>40.0</v>
      </c>
      <c r="K6" s="13">
        <v>50.0</v>
      </c>
      <c r="L6" s="14">
        <v>50.0</v>
      </c>
      <c r="M6" s="16">
        <v>80.0</v>
      </c>
      <c r="N6" s="16">
        <v>60.0</v>
      </c>
      <c r="O6" s="16">
        <v>50.0</v>
      </c>
      <c r="P6" s="4"/>
      <c r="Q6" s="6"/>
    </row>
    <row r="7" ht="15.75" customHeight="1">
      <c r="A7" s="17" t="s">
        <v>22</v>
      </c>
      <c r="B7" s="15" t="s">
        <v>23</v>
      </c>
      <c r="C7" s="15"/>
      <c r="D7" s="10" t="s">
        <v>17</v>
      </c>
      <c r="E7" s="11" t="s">
        <v>21</v>
      </c>
      <c r="F7" s="12" t="s">
        <v>17</v>
      </c>
      <c r="G7" s="12" t="s">
        <v>17</v>
      </c>
      <c r="H7" s="12">
        <v>60.0</v>
      </c>
      <c r="I7" s="12">
        <v>70.0</v>
      </c>
      <c r="J7" s="12">
        <v>50.0</v>
      </c>
      <c r="K7" s="13">
        <v>60.0</v>
      </c>
      <c r="L7" s="14">
        <v>70.0</v>
      </c>
      <c r="M7" s="16">
        <v>90.0</v>
      </c>
      <c r="N7" s="16">
        <v>50.0</v>
      </c>
      <c r="O7" s="16" t="s">
        <v>24</v>
      </c>
      <c r="P7" s="4"/>
      <c r="Q7" s="6"/>
    </row>
    <row r="8" ht="15.75" customHeight="1">
      <c r="A8" s="18" t="s">
        <v>25</v>
      </c>
      <c r="B8" s="15" t="s">
        <v>26</v>
      </c>
      <c r="C8" s="15"/>
      <c r="D8" s="10" t="s">
        <v>17</v>
      </c>
      <c r="E8" s="11" t="s">
        <v>21</v>
      </c>
      <c r="F8" s="12" t="s">
        <v>17</v>
      </c>
      <c r="G8" s="12" t="s">
        <v>17</v>
      </c>
      <c r="H8" s="12" t="s">
        <v>17</v>
      </c>
      <c r="I8" s="12" t="s">
        <v>17</v>
      </c>
      <c r="J8" s="12">
        <v>20.0</v>
      </c>
      <c r="K8" s="13">
        <v>60.0</v>
      </c>
      <c r="L8" s="14">
        <v>70.0</v>
      </c>
      <c r="M8" s="16">
        <v>70.0</v>
      </c>
      <c r="N8" s="16">
        <v>70.0</v>
      </c>
      <c r="O8" s="16">
        <v>50.0</v>
      </c>
      <c r="P8" s="4"/>
      <c r="Q8" s="6"/>
    </row>
    <row r="9" ht="15.75" customHeight="1">
      <c r="A9" s="10" t="s">
        <v>27</v>
      </c>
      <c r="B9" s="15" t="s">
        <v>28</v>
      </c>
      <c r="C9" s="15"/>
      <c r="D9" s="10" t="s">
        <v>17</v>
      </c>
      <c r="E9" s="11">
        <v>2700.0</v>
      </c>
      <c r="F9" s="12">
        <v>82.0</v>
      </c>
      <c r="G9" s="12">
        <v>44.0</v>
      </c>
      <c r="H9" s="12">
        <v>40.0</v>
      </c>
      <c r="I9" s="12">
        <v>34.0</v>
      </c>
      <c r="J9" s="12">
        <v>50.0</v>
      </c>
      <c r="K9" s="13">
        <v>60.0</v>
      </c>
      <c r="L9" s="14">
        <v>66.0</v>
      </c>
      <c r="M9" s="16">
        <v>52.0</v>
      </c>
      <c r="N9" s="16">
        <v>52.0</v>
      </c>
      <c r="O9" s="16" t="s">
        <v>29</v>
      </c>
      <c r="P9" s="4"/>
      <c r="Q9" s="6"/>
    </row>
    <row r="10" ht="24.75" customHeight="1">
      <c r="A10" s="10" t="s">
        <v>30</v>
      </c>
      <c r="B10" s="10" t="s">
        <v>31</v>
      </c>
      <c r="C10" s="10"/>
      <c r="D10" s="10" t="s">
        <v>17</v>
      </c>
      <c r="E10" s="11">
        <v>2700.0</v>
      </c>
      <c r="F10" s="12" t="s">
        <v>17</v>
      </c>
      <c r="G10" s="12">
        <v>42.0</v>
      </c>
      <c r="H10" s="12">
        <v>64.0</v>
      </c>
      <c r="I10" s="12">
        <v>80.0</v>
      </c>
      <c r="J10" s="12">
        <v>30.0</v>
      </c>
      <c r="K10" s="13" t="s">
        <v>17</v>
      </c>
      <c r="L10" s="14">
        <v>46.0</v>
      </c>
      <c r="M10" s="16">
        <v>74.0</v>
      </c>
      <c r="N10" s="16">
        <v>40.0</v>
      </c>
      <c r="O10" s="16">
        <v>52.0</v>
      </c>
      <c r="P10" s="4"/>
      <c r="Q10" s="6"/>
    </row>
    <row r="11" ht="15.75" hidden="1" customHeight="1">
      <c r="A11" s="10" t="s">
        <v>32</v>
      </c>
      <c r="B11" s="10" t="s">
        <v>33</v>
      </c>
      <c r="C11" s="10"/>
      <c r="D11" s="10" t="s">
        <v>17</v>
      </c>
      <c r="E11" s="11">
        <v>2700.0</v>
      </c>
      <c r="F11" s="12">
        <v>80.0</v>
      </c>
      <c r="G11" s="12">
        <v>168.0</v>
      </c>
      <c r="H11" s="12">
        <v>44.0</v>
      </c>
      <c r="I11" s="12"/>
      <c r="J11" s="12"/>
      <c r="K11" s="13"/>
      <c r="L11" s="14"/>
      <c r="M11" s="10"/>
      <c r="N11" s="10"/>
      <c r="O11" s="10"/>
      <c r="P11" s="4"/>
      <c r="Q11" s="6"/>
    </row>
    <row r="12" ht="15.75" customHeight="1">
      <c r="A12" s="10" t="s">
        <v>34</v>
      </c>
      <c r="B12" s="10" t="s">
        <v>35</v>
      </c>
      <c r="C12" s="10"/>
      <c r="D12" s="10" t="s">
        <v>17</v>
      </c>
      <c r="E12" s="11" t="s">
        <v>21</v>
      </c>
      <c r="F12" s="12" t="s">
        <v>17</v>
      </c>
      <c r="G12" s="12" t="s">
        <v>17</v>
      </c>
      <c r="H12" s="12">
        <v>40.0</v>
      </c>
      <c r="I12" s="12">
        <v>50.0</v>
      </c>
      <c r="J12" s="12">
        <v>30.0</v>
      </c>
      <c r="K12" s="13">
        <v>80.0</v>
      </c>
      <c r="L12" s="14">
        <v>78.0</v>
      </c>
      <c r="M12" s="16">
        <v>82.0</v>
      </c>
      <c r="N12" s="16">
        <v>48.0</v>
      </c>
      <c r="O12" s="16">
        <v>52.0</v>
      </c>
      <c r="P12" s="4"/>
      <c r="Q12" s="6"/>
    </row>
    <row r="13" ht="33.75" customHeight="1">
      <c r="A13" s="10" t="s">
        <v>36</v>
      </c>
      <c r="B13" s="10" t="s">
        <v>37</v>
      </c>
      <c r="C13" s="10"/>
      <c r="D13" s="10" t="s">
        <v>17</v>
      </c>
      <c r="E13" s="11">
        <v>2700.0</v>
      </c>
      <c r="F13" s="12">
        <v>76.0</v>
      </c>
      <c r="G13" s="12">
        <v>44.0</v>
      </c>
      <c r="H13" s="12">
        <v>40.0</v>
      </c>
      <c r="I13" s="12">
        <v>40.0</v>
      </c>
      <c r="J13" s="12">
        <v>30.0</v>
      </c>
      <c r="K13" s="13">
        <v>40.0</v>
      </c>
      <c r="L13" s="14">
        <v>42.0</v>
      </c>
      <c r="M13" s="16">
        <v>68.0</v>
      </c>
      <c r="N13" s="16">
        <v>100.0</v>
      </c>
      <c r="O13" s="16" t="s">
        <v>29</v>
      </c>
      <c r="P13" s="4"/>
      <c r="Q13" s="6"/>
    </row>
    <row r="14" ht="15.75" hidden="1" customHeight="1">
      <c r="A14" s="10" t="s">
        <v>38</v>
      </c>
      <c r="B14" s="10" t="s">
        <v>39</v>
      </c>
      <c r="C14" s="10"/>
      <c r="D14" s="10" t="s">
        <v>17</v>
      </c>
      <c r="E14" s="19">
        <v>2700.0</v>
      </c>
      <c r="F14" s="12">
        <v>40.0</v>
      </c>
      <c r="G14" s="12">
        <v>50.0</v>
      </c>
      <c r="H14" s="12" t="s">
        <v>17</v>
      </c>
      <c r="I14" s="12"/>
      <c r="J14" s="12"/>
      <c r="K14" s="13"/>
      <c r="L14" s="14"/>
      <c r="M14" s="10"/>
      <c r="N14" s="10"/>
      <c r="O14" s="10"/>
      <c r="P14" s="4"/>
      <c r="Q14" s="6"/>
    </row>
    <row r="15" ht="15.75" hidden="1" customHeight="1">
      <c r="A15" s="10" t="s">
        <v>38</v>
      </c>
      <c r="B15" s="15" t="s">
        <v>40</v>
      </c>
      <c r="C15" s="15"/>
      <c r="D15" s="10" t="s">
        <v>17</v>
      </c>
      <c r="E15" s="19" t="s">
        <v>21</v>
      </c>
      <c r="F15" s="12" t="s">
        <v>17</v>
      </c>
      <c r="G15" s="12" t="s">
        <v>17</v>
      </c>
      <c r="H15" s="12">
        <v>40.0</v>
      </c>
      <c r="I15" s="12">
        <v>40.0</v>
      </c>
      <c r="J15" s="12">
        <v>10.0</v>
      </c>
      <c r="K15" s="13"/>
      <c r="L15" s="14"/>
      <c r="M15" s="10"/>
      <c r="N15" s="10"/>
      <c r="O15" s="10"/>
      <c r="P15" s="4"/>
      <c r="Q15" s="6"/>
    </row>
    <row r="16" ht="15.75" customHeight="1">
      <c r="A16" s="10" t="s">
        <v>41</v>
      </c>
      <c r="B16" s="15" t="s">
        <v>42</v>
      </c>
      <c r="C16" s="15"/>
      <c r="D16" s="10" t="s">
        <v>17</v>
      </c>
      <c r="E16" s="19">
        <v>2700.0</v>
      </c>
      <c r="F16" s="12">
        <v>130.0</v>
      </c>
      <c r="G16" s="12">
        <v>140.0</v>
      </c>
      <c r="H16" s="12">
        <v>120.0</v>
      </c>
      <c r="I16" s="12">
        <v>140.0</v>
      </c>
      <c r="J16" s="12">
        <v>60.0</v>
      </c>
      <c r="K16" s="13">
        <v>90.0</v>
      </c>
      <c r="L16" s="14">
        <v>90.0</v>
      </c>
      <c r="M16" s="16">
        <v>140.0</v>
      </c>
      <c r="N16" s="16">
        <v>70.0</v>
      </c>
      <c r="O16" s="16" t="s">
        <v>29</v>
      </c>
      <c r="P16" s="4"/>
      <c r="Q16" s="6"/>
    </row>
    <row r="17" ht="15.75" customHeight="1">
      <c r="A17" s="10" t="s">
        <v>43</v>
      </c>
      <c r="B17" s="10" t="s">
        <v>44</v>
      </c>
      <c r="C17" s="10"/>
      <c r="D17" s="10" t="s">
        <v>17</v>
      </c>
      <c r="E17" s="19" t="s">
        <v>21</v>
      </c>
      <c r="F17" s="10" t="s">
        <v>17</v>
      </c>
      <c r="G17" s="10" t="s">
        <v>17</v>
      </c>
      <c r="H17" s="10" t="s">
        <v>17</v>
      </c>
      <c r="I17" s="10" t="s">
        <v>17</v>
      </c>
      <c r="J17" s="10">
        <v>30.0</v>
      </c>
      <c r="K17" s="14" t="s">
        <v>17</v>
      </c>
      <c r="L17" s="14">
        <v>12.0</v>
      </c>
      <c r="M17" s="16">
        <v>50.0</v>
      </c>
      <c r="N17" s="16">
        <v>108.0</v>
      </c>
      <c r="O17" s="16" t="s">
        <v>29</v>
      </c>
      <c r="P17" s="4"/>
      <c r="Q17" s="6"/>
    </row>
    <row r="18" ht="55.5" hidden="1" customHeight="1">
      <c r="A18" s="10" t="s">
        <v>45</v>
      </c>
      <c r="B18" s="10" t="s">
        <v>44</v>
      </c>
      <c r="C18" s="10"/>
      <c r="D18" s="10" t="s">
        <v>17</v>
      </c>
      <c r="E18" s="19">
        <v>2700.0</v>
      </c>
      <c r="F18" s="10">
        <v>30.0</v>
      </c>
      <c r="G18" s="10">
        <v>24.0</v>
      </c>
      <c r="H18" s="10">
        <v>32.0</v>
      </c>
      <c r="I18" s="10">
        <v>20.0</v>
      </c>
      <c r="J18" s="10"/>
      <c r="K18" s="14"/>
      <c r="L18" s="14"/>
      <c r="M18" s="10"/>
      <c r="N18" s="10"/>
      <c r="O18" s="10"/>
      <c r="P18" s="4"/>
      <c r="Q18" s="6"/>
    </row>
    <row r="19" ht="18.0" customHeight="1">
      <c r="A19" s="10" t="s">
        <v>46</v>
      </c>
      <c r="B19" s="10" t="s">
        <v>47</v>
      </c>
      <c r="C19" s="10"/>
      <c r="D19" s="10" t="s">
        <v>17</v>
      </c>
      <c r="E19" s="19" t="s">
        <v>21</v>
      </c>
      <c r="F19" s="10" t="s">
        <v>17</v>
      </c>
      <c r="G19" s="10" t="s">
        <v>17</v>
      </c>
      <c r="H19" s="10" t="s">
        <v>17</v>
      </c>
      <c r="I19" s="10" t="s">
        <v>17</v>
      </c>
      <c r="J19" s="10">
        <v>30.0</v>
      </c>
      <c r="K19" s="14">
        <v>40.0</v>
      </c>
      <c r="L19" s="14">
        <v>40.0</v>
      </c>
      <c r="M19" s="16">
        <v>50.0</v>
      </c>
      <c r="N19" s="16" t="s">
        <v>24</v>
      </c>
      <c r="O19" s="16" t="s">
        <v>29</v>
      </c>
      <c r="P19" s="4"/>
      <c r="Q19" s="6"/>
    </row>
    <row r="20" ht="39.0" customHeight="1">
      <c r="A20" s="10" t="s">
        <v>48</v>
      </c>
      <c r="B20" s="10" t="s">
        <v>49</v>
      </c>
      <c r="C20" s="10"/>
      <c r="D20" s="10" t="s">
        <v>17</v>
      </c>
      <c r="E20" s="19">
        <v>2700.0</v>
      </c>
      <c r="F20" s="10" t="s">
        <v>17</v>
      </c>
      <c r="G20" s="10">
        <v>26.0</v>
      </c>
      <c r="H20" s="10">
        <v>50.0</v>
      </c>
      <c r="I20" s="10">
        <v>66.0</v>
      </c>
      <c r="J20" s="10">
        <v>12.0</v>
      </c>
      <c r="K20" s="14">
        <v>16.0</v>
      </c>
      <c r="L20" s="14">
        <v>12.0</v>
      </c>
      <c r="M20" s="16">
        <v>16.0</v>
      </c>
      <c r="N20" s="16">
        <v>12.0</v>
      </c>
      <c r="O20" s="16" t="s">
        <v>29</v>
      </c>
      <c r="P20" s="4"/>
      <c r="Q20" s="6"/>
    </row>
    <row r="21" ht="26.25" customHeight="1">
      <c r="A21" s="10" t="s">
        <v>48</v>
      </c>
      <c r="B21" s="17" t="s">
        <v>50</v>
      </c>
      <c r="C21" s="10"/>
      <c r="D21" s="10" t="s">
        <v>17</v>
      </c>
      <c r="E21" s="19" t="s">
        <v>21</v>
      </c>
      <c r="F21" s="12" t="s">
        <v>17</v>
      </c>
      <c r="G21" s="12">
        <v>30.0</v>
      </c>
      <c r="H21" s="12">
        <v>62.0</v>
      </c>
      <c r="I21" s="12">
        <v>34.0</v>
      </c>
      <c r="J21" s="12" t="s">
        <v>17</v>
      </c>
      <c r="K21" s="13" t="s">
        <v>17</v>
      </c>
      <c r="L21" s="14" t="s">
        <v>24</v>
      </c>
      <c r="M21" s="10" t="s">
        <v>24</v>
      </c>
      <c r="N21" s="10" t="s">
        <v>24</v>
      </c>
      <c r="O21" s="16" t="s">
        <v>29</v>
      </c>
      <c r="P21" s="4"/>
      <c r="Q21" s="6"/>
    </row>
    <row r="22" ht="26.25" customHeight="1">
      <c r="A22" s="10" t="s">
        <v>51</v>
      </c>
      <c r="B22" s="10" t="s">
        <v>52</v>
      </c>
      <c r="C22" s="10"/>
      <c r="D22" s="10" t="s">
        <v>17</v>
      </c>
      <c r="E22" s="19">
        <v>2700.0</v>
      </c>
      <c r="F22" s="12">
        <v>116.0</v>
      </c>
      <c r="G22" s="12">
        <v>104.0</v>
      </c>
      <c r="H22" s="12">
        <v>130.0</v>
      </c>
      <c r="I22" s="12">
        <v>130.0</v>
      </c>
      <c r="J22" s="12">
        <v>60.0</v>
      </c>
      <c r="K22" s="13">
        <v>80.0</v>
      </c>
      <c r="L22" s="14">
        <v>80.0</v>
      </c>
      <c r="M22" s="16">
        <v>90.0</v>
      </c>
      <c r="N22" s="16">
        <v>50.0</v>
      </c>
      <c r="O22" s="16">
        <v>52.0</v>
      </c>
      <c r="P22" s="4"/>
      <c r="Q22" s="6"/>
    </row>
    <row r="23" ht="30.0" customHeight="1">
      <c r="A23" s="20" t="s">
        <v>53</v>
      </c>
      <c r="B23" s="20" t="s">
        <v>54</v>
      </c>
      <c r="C23" s="20"/>
      <c r="D23" s="21"/>
      <c r="E23" s="22">
        <v>2700.0</v>
      </c>
      <c r="F23" s="23">
        <v>104.0</v>
      </c>
      <c r="G23" s="23">
        <v>100.0</v>
      </c>
      <c r="H23" s="23">
        <v>126.0</v>
      </c>
      <c r="I23" s="23">
        <v>105.0</v>
      </c>
      <c r="J23" s="23">
        <v>42.0</v>
      </c>
      <c r="K23" s="24">
        <v>56.0</v>
      </c>
      <c r="L23" s="24">
        <v>56.0</v>
      </c>
      <c r="M23" s="25">
        <v>60.0</v>
      </c>
      <c r="N23" s="25">
        <v>48.0</v>
      </c>
      <c r="O23" s="25" t="s">
        <v>29</v>
      </c>
      <c r="P23" s="4"/>
      <c r="Q23" s="6"/>
    </row>
    <row r="24" ht="30.0" customHeight="1">
      <c r="A24" s="26" t="s">
        <v>55</v>
      </c>
      <c r="B24" s="26" t="s">
        <v>37</v>
      </c>
      <c r="C24" s="27">
        <v>250000.0</v>
      </c>
      <c r="D24" s="28">
        <v>0.2</v>
      </c>
      <c r="E24" s="27">
        <f t="shared" ref="E24:E26" si="1">C24*D24</f>
        <v>50000</v>
      </c>
      <c r="F24" s="3"/>
      <c r="G24" s="3"/>
      <c r="H24" s="3"/>
      <c r="I24" s="3"/>
      <c r="J24" s="3"/>
      <c r="K24" s="4"/>
      <c r="L24" s="4"/>
      <c r="M24" s="4"/>
      <c r="N24" s="4"/>
      <c r="O24" s="4"/>
      <c r="P24" s="4"/>
      <c r="Q24" s="6"/>
    </row>
    <row r="25" ht="29.25" customHeight="1">
      <c r="A25" s="10" t="s">
        <v>56</v>
      </c>
      <c r="B25" s="10" t="s">
        <v>57</v>
      </c>
      <c r="C25" s="29">
        <v>385542.0</v>
      </c>
      <c r="D25" s="30">
        <v>2.49</v>
      </c>
      <c r="E25" s="29">
        <f t="shared" si="1"/>
        <v>959999.58</v>
      </c>
      <c r="F25" s="3"/>
      <c r="G25" s="3"/>
      <c r="H25" s="3"/>
      <c r="I25" s="3"/>
      <c r="J25" s="3"/>
      <c r="K25" s="4"/>
      <c r="L25" s="4"/>
      <c r="M25" s="4"/>
      <c r="N25" s="4"/>
      <c r="O25" s="4"/>
      <c r="P25" s="4"/>
      <c r="Q25" s="6"/>
    </row>
    <row r="26" ht="28.5" customHeight="1">
      <c r="A26" s="10" t="s">
        <v>56</v>
      </c>
      <c r="B26" s="10" t="s">
        <v>58</v>
      </c>
      <c r="C26" s="29">
        <v>377352.0</v>
      </c>
      <c r="D26" s="10">
        <v>2.53</v>
      </c>
      <c r="E26" s="29">
        <f t="shared" si="1"/>
        <v>954700.56</v>
      </c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6"/>
    </row>
    <row r="27" ht="15.75" hidden="1" customHeight="1">
      <c r="A27" s="31" t="s">
        <v>59</v>
      </c>
      <c r="B27" s="31" t="s">
        <v>60</v>
      </c>
      <c r="C27" s="31" t="s">
        <v>61</v>
      </c>
      <c r="D27" s="31">
        <v>0.2</v>
      </c>
      <c r="E27" s="31">
        <v>40000.0</v>
      </c>
      <c r="F27" s="32" t="s">
        <v>62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ht="15.75" customHeight="1">
      <c r="A28" s="10" t="s">
        <v>63</v>
      </c>
      <c r="B28" s="10" t="s">
        <v>44</v>
      </c>
      <c r="C28" s="10" t="s">
        <v>61</v>
      </c>
      <c r="D28" s="30">
        <v>0.2</v>
      </c>
      <c r="E28" s="10" t="s">
        <v>64</v>
      </c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6"/>
    </row>
    <row r="29" ht="15.75" customHeight="1">
      <c r="A29" s="4"/>
      <c r="B29" s="4"/>
      <c r="C29" s="4"/>
      <c r="D29" s="4"/>
      <c r="E29" s="4"/>
      <c r="F29" s="3"/>
      <c r="G29" s="3">
        <v>4618300.0</v>
      </c>
      <c r="H29" s="3"/>
      <c r="I29" s="3"/>
      <c r="J29" s="4"/>
      <c r="K29" s="4"/>
      <c r="L29" s="4"/>
      <c r="M29" s="4"/>
      <c r="N29" s="4"/>
      <c r="O29" s="4"/>
      <c r="P29" s="4"/>
      <c r="Q29" s="6"/>
    </row>
    <row r="30" ht="15.75" customHeight="1">
      <c r="A30" s="4"/>
      <c r="B30" s="4"/>
      <c r="C30" s="4"/>
      <c r="D30" s="4"/>
      <c r="E30" s="4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6"/>
    </row>
    <row r="31" ht="26.25" customHeight="1">
      <c r="A31" s="33" t="s">
        <v>65</v>
      </c>
      <c r="B31" s="33" t="s">
        <v>66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6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6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L33" s="4"/>
      <c r="M33" s="4"/>
      <c r="N33" s="4"/>
      <c r="O33" s="4"/>
      <c r="P33" s="4"/>
      <c r="Q33" s="6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6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6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6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6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6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6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6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6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6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6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6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6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6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6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6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6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6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6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6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6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6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6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6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6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6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6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6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6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6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6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6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6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6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6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6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6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6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6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6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6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6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6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6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6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6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6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6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6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6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6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6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6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6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6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6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6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6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6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6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6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6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6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6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6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6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6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6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6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6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6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6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6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6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6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6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6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6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6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6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6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6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6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6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6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6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6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6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6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6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6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6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6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6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6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6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6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6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6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6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6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6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6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6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6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6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6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6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6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6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6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6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6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6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6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6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6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6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6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6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6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6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6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6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6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6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6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6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6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6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6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6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6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6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6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6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6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6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6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6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6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6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6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6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6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6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6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6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6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6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6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6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6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6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24.0"/>
    <col customWidth="1" min="2" max="2" width="22.25"/>
    <col customWidth="1" min="3" max="3" width="7.25"/>
    <col customWidth="1" min="4" max="4" width="6.63"/>
    <col customWidth="1" min="5" max="5" width="7.38"/>
    <col customWidth="1" min="6" max="6" width="6.25"/>
    <col customWidth="1" min="7" max="7" width="6.88"/>
    <col customWidth="1" min="8" max="8" width="6.13"/>
    <col customWidth="1" min="9" max="9" width="9.63"/>
    <col customWidth="1" min="10" max="10" width="6.13"/>
    <col customWidth="1" min="11" max="11" width="10.0"/>
    <col customWidth="1" min="12" max="12" width="6.5"/>
    <col customWidth="1" min="13" max="13" width="9.25"/>
    <col customWidth="1" min="14" max="14" width="5.88"/>
    <col customWidth="1" min="15" max="15" width="9.63"/>
    <col customWidth="1" min="16" max="16" width="5.88"/>
    <col customWidth="1" min="17" max="17" width="9.0"/>
    <col customWidth="1" min="18" max="18" width="6.5"/>
    <col customWidth="1" min="19" max="19" width="9.13"/>
    <col customWidth="1" min="20" max="20" width="6.5"/>
    <col customWidth="1" min="21" max="21" width="8.88"/>
    <col customWidth="1" min="22" max="22" width="6.38"/>
    <col customWidth="1" min="23" max="23" width="9.38"/>
    <col customWidth="1" min="24" max="24" width="7.25"/>
    <col customWidth="1" min="25" max="25" width="6.25"/>
    <col customWidth="1" min="26" max="26" width="11.0"/>
    <col customWidth="1" min="27" max="27" width="6.38"/>
    <col customWidth="1" min="28" max="28" width="8.75"/>
    <col customWidth="1" min="29" max="29" width="6.38"/>
    <col customWidth="1" min="30" max="30" width="9.63"/>
    <col customWidth="1" min="31" max="31" width="6.5"/>
    <col customWidth="1" min="32" max="32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67</v>
      </c>
      <c r="F1" s="34" t="s">
        <v>68</v>
      </c>
      <c r="G1" s="35" t="s">
        <v>69</v>
      </c>
      <c r="H1" s="36" t="s">
        <v>70</v>
      </c>
      <c r="I1" s="37"/>
      <c r="J1" s="36" t="s">
        <v>71</v>
      </c>
      <c r="K1" s="37"/>
      <c r="L1" s="36" t="s">
        <v>72</v>
      </c>
      <c r="M1" s="37"/>
      <c r="N1" s="36" t="s">
        <v>73</v>
      </c>
      <c r="O1" s="37"/>
      <c r="P1" s="36" t="s">
        <v>74</v>
      </c>
      <c r="Q1" s="37"/>
      <c r="R1" s="38" t="s">
        <v>75</v>
      </c>
      <c r="S1" s="37"/>
      <c r="T1" s="36" t="s">
        <v>76</v>
      </c>
      <c r="U1" s="37"/>
      <c r="V1" s="38" t="s">
        <v>77</v>
      </c>
      <c r="W1" s="37"/>
      <c r="X1" s="34" t="s">
        <v>68</v>
      </c>
      <c r="Y1" s="36" t="s">
        <v>5</v>
      </c>
      <c r="Z1" s="37"/>
      <c r="AA1" s="36" t="s">
        <v>6</v>
      </c>
      <c r="AB1" s="37"/>
      <c r="AC1" s="36" t="s">
        <v>7</v>
      </c>
      <c r="AD1" s="37"/>
      <c r="AE1" s="36" t="s">
        <v>8</v>
      </c>
      <c r="AF1" s="37"/>
    </row>
    <row r="2">
      <c r="H2" s="39" t="s">
        <v>78</v>
      </c>
      <c r="I2" s="40" t="s">
        <v>79</v>
      </c>
      <c r="J2" s="39" t="s">
        <v>78</v>
      </c>
      <c r="K2" s="40" t="s">
        <v>79</v>
      </c>
      <c r="L2" s="39" t="s">
        <v>78</v>
      </c>
      <c r="M2" s="40" t="s">
        <v>79</v>
      </c>
      <c r="N2" s="39" t="s">
        <v>78</v>
      </c>
      <c r="O2" s="40" t="s">
        <v>79</v>
      </c>
      <c r="P2" s="39" t="s">
        <v>78</v>
      </c>
      <c r="Q2" s="40" t="s">
        <v>79</v>
      </c>
      <c r="R2" s="39" t="s">
        <v>78</v>
      </c>
      <c r="S2" s="40" t="s">
        <v>79</v>
      </c>
      <c r="T2" s="39" t="s">
        <v>78</v>
      </c>
      <c r="U2" s="40" t="s">
        <v>79</v>
      </c>
      <c r="V2" s="39" t="s">
        <v>78</v>
      </c>
      <c r="W2" s="40" t="s">
        <v>79</v>
      </c>
      <c r="Y2" s="39" t="s">
        <v>78</v>
      </c>
      <c r="Z2" s="40" t="s">
        <v>79</v>
      </c>
      <c r="AA2" s="39" t="s">
        <v>78</v>
      </c>
      <c r="AB2" s="40" t="s">
        <v>79</v>
      </c>
      <c r="AC2" s="39" t="s">
        <v>78</v>
      </c>
      <c r="AD2" s="40" t="s">
        <v>79</v>
      </c>
      <c r="AE2" s="39" t="s">
        <v>78</v>
      </c>
      <c r="AF2" s="40" t="s">
        <v>79</v>
      </c>
    </row>
    <row r="3">
      <c r="A3" s="20" t="s">
        <v>15</v>
      </c>
      <c r="B3" s="10" t="s">
        <v>16</v>
      </c>
      <c r="D3" s="10" t="s">
        <v>17</v>
      </c>
      <c r="E3" s="11">
        <v>2700.0</v>
      </c>
      <c r="F3" s="41">
        <v>56.0</v>
      </c>
      <c r="G3" s="11">
        <f t="shared" ref="G3:G19" si="1">H3+J3+L3+N3+P3+R3</f>
        <v>56</v>
      </c>
      <c r="H3" s="39">
        <v>8.0</v>
      </c>
      <c r="I3" s="40">
        <f t="shared" ref="I3:I19" si="2">2700*(H3*5)</f>
        <v>108000</v>
      </c>
      <c r="J3" s="42">
        <v>12.0</v>
      </c>
      <c r="K3" s="40">
        <f t="shared" ref="K3:K19" si="3">2700*(J3*5)</f>
        <v>162000</v>
      </c>
      <c r="L3" s="42">
        <v>10.0</v>
      </c>
      <c r="M3" s="40">
        <f t="shared" ref="M3:M19" si="4">2700*(L3*5)</f>
        <v>135000</v>
      </c>
      <c r="N3" s="42">
        <v>8.0</v>
      </c>
      <c r="O3" s="40">
        <f t="shared" ref="O3:O19" si="5">2700*(N3*5)</f>
        <v>108000</v>
      </c>
      <c r="P3" s="42">
        <v>14.0</v>
      </c>
      <c r="Q3" s="40">
        <f t="shared" ref="Q3:Q19" si="6">2700*(P3*5)</f>
        <v>189000</v>
      </c>
      <c r="R3" s="42">
        <v>4.0</v>
      </c>
      <c r="S3" s="40">
        <f t="shared" ref="S3:S19" si="7">2700*(R3*5)</f>
        <v>54000</v>
      </c>
      <c r="U3" s="40">
        <f t="shared" ref="U3:U19" si="8">2700*(T3*5)</f>
        <v>0</v>
      </c>
      <c r="W3" s="40">
        <f t="shared" ref="W3:W19" si="9">2700*(V3*5)</f>
        <v>0</v>
      </c>
      <c r="X3" s="43">
        <v>40.0</v>
      </c>
      <c r="Y3" s="44">
        <v>10.0</v>
      </c>
      <c r="Z3" s="40">
        <f t="shared" ref="Z3:Z19" si="10">2700*(Y3*10)</f>
        <v>270000</v>
      </c>
      <c r="AA3" s="44">
        <v>10.0</v>
      </c>
      <c r="AB3" s="40">
        <f t="shared" ref="AB3:AB19" si="11">2700*(AA3*10)</f>
        <v>270000</v>
      </c>
      <c r="AC3" s="44">
        <v>10.0</v>
      </c>
      <c r="AD3" s="40">
        <f t="shared" ref="AD3:AD19" si="12">2700*(AC3*10)</f>
        <v>270000</v>
      </c>
      <c r="AE3" s="44">
        <v>10.0</v>
      </c>
      <c r="AF3" s="40">
        <f t="shared" ref="AF3:AF19" si="13">2700*(AE3*10)</f>
        <v>270000</v>
      </c>
    </row>
    <row r="4">
      <c r="A4" s="45" t="s">
        <v>25</v>
      </c>
      <c r="B4" s="46" t="s">
        <v>23</v>
      </c>
      <c r="D4" s="10" t="s">
        <v>17</v>
      </c>
      <c r="E4" s="11" t="s">
        <v>21</v>
      </c>
      <c r="F4" s="41">
        <v>56.0</v>
      </c>
      <c r="G4" s="11">
        <f t="shared" si="1"/>
        <v>64</v>
      </c>
      <c r="H4" s="39">
        <v>10.0</v>
      </c>
      <c r="I4" s="40">
        <f t="shared" si="2"/>
        <v>135000</v>
      </c>
      <c r="J4" s="42">
        <v>12.0</v>
      </c>
      <c r="K4" s="40">
        <f t="shared" si="3"/>
        <v>162000</v>
      </c>
      <c r="L4" s="42">
        <v>12.0</v>
      </c>
      <c r="M4" s="40">
        <f t="shared" si="4"/>
        <v>162000</v>
      </c>
      <c r="N4" s="42">
        <v>12.0</v>
      </c>
      <c r="O4" s="40">
        <f t="shared" si="5"/>
        <v>162000</v>
      </c>
      <c r="P4" s="42">
        <v>12.0</v>
      </c>
      <c r="Q4" s="40">
        <f t="shared" si="6"/>
        <v>162000</v>
      </c>
      <c r="R4" s="42">
        <v>6.0</v>
      </c>
      <c r="S4" s="40">
        <f t="shared" si="7"/>
        <v>81000</v>
      </c>
      <c r="U4" s="40">
        <f t="shared" si="8"/>
        <v>0</v>
      </c>
      <c r="W4" s="40">
        <f t="shared" si="9"/>
        <v>0</v>
      </c>
      <c r="X4" s="43">
        <v>40.0</v>
      </c>
      <c r="Y4" s="44">
        <v>10.0</v>
      </c>
      <c r="Z4" s="40">
        <f t="shared" si="10"/>
        <v>270000</v>
      </c>
      <c r="AA4" s="44">
        <v>10.0</v>
      </c>
      <c r="AB4" s="40">
        <f t="shared" si="11"/>
        <v>270000</v>
      </c>
      <c r="AC4" s="44">
        <v>10.0</v>
      </c>
      <c r="AD4" s="40">
        <f t="shared" si="12"/>
        <v>270000</v>
      </c>
      <c r="AE4" s="44">
        <v>10.0</v>
      </c>
      <c r="AF4" s="40">
        <f t="shared" si="13"/>
        <v>270000</v>
      </c>
    </row>
    <row r="5">
      <c r="A5" s="3" t="s">
        <v>22</v>
      </c>
      <c r="B5" s="15" t="s">
        <v>23</v>
      </c>
      <c r="E5" s="11">
        <v>2700.0</v>
      </c>
      <c r="F5" s="41">
        <v>56.0</v>
      </c>
      <c r="G5" s="11">
        <f t="shared" si="1"/>
        <v>68</v>
      </c>
      <c r="H5" s="39">
        <v>8.0</v>
      </c>
      <c r="I5" s="40">
        <f t="shared" si="2"/>
        <v>108000</v>
      </c>
      <c r="J5" s="42">
        <v>12.0</v>
      </c>
      <c r="K5" s="40">
        <f t="shared" si="3"/>
        <v>162000</v>
      </c>
      <c r="L5" s="42">
        <v>12.0</v>
      </c>
      <c r="M5" s="40">
        <f t="shared" si="4"/>
        <v>162000</v>
      </c>
      <c r="N5" s="42">
        <v>16.0</v>
      </c>
      <c r="O5" s="40">
        <f t="shared" si="5"/>
        <v>216000</v>
      </c>
      <c r="P5" s="42">
        <v>16.0</v>
      </c>
      <c r="Q5" s="40">
        <f t="shared" si="6"/>
        <v>216000</v>
      </c>
      <c r="R5" s="42">
        <v>4.0</v>
      </c>
      <c r="S5" s="40">
        <f t="shared" si="7"/>
        <v>54000</v>
      </c>
      <c r="U5" s="40">
        <f t="shared" si="8"/>
        <v>0</v>
      </c>
      <c r="W5" s="40">
        <f t="shared" si="9"/>
        <v>0</v>
      </c>
      <c r="X5" s="43">
        <v>40.0</v>
      </c>
      <c r="Y5" s="44">
        <v>10.0</v>
      </c>
      <c r="Z5" s="40">
        <f t="shared" si="10"/>
        <v>270000</v>
      </c>
      <c r="AA5" s="44">
        <v>10.0</v>
      </c>
      <c r="AB5" s="40">
        <f t="shared" si="11"/>
        <v>270000</v>
      </c>
      <c r="AC5" s="44">
        <v>10.0</v>
      </c>
      <c r="AD5" s="40">
        <f t="shared" si="12"/>
        <v>270000</v>
      </c>
      <c r="AE5" s="44">
        <v>10.0</v>
      </c>
      <c r="AF5" s="40">
        <f t="shared" si="13"/>
        <v>270000</v>
      </c>
    </row>
    <row r="6">
      <c r="A6" s="10" t="s">
        <v>27</v>
      </c>
      <c r="B6" s="15" t="s">
        <v>28</v>
      </c>
      <c r="D6" s="10" t="s">
        <v>17</v>
      </c>
      <c r="E6" s="11">
        <v>2700.0</v>
      </c>
      <c r="F6" s="41">
        <v>56.0</v>
      </c>
      <c r="G6" s="11">
        <f t="shared" si="1"/>
        <v>56</v>
      </c>
      <c r="H6" s="39">
        <v>10.0</v>
      </c>
      <c r="I6" s="40">
        <f t="shared" si="2"/>
        <v>135000</v>
      </c>
      <c r="J6" s="42">
        <v>12.0</v>
      </c>
      <c r="K6" s="40">
        <f t="shared" si="3"/>
        <v>162000</v>
      </c>
      <c r="L6" s="42">
        <v>10.0</v>
      </c>
      <c r="M6" s="40">
        <f t="shared" si="4"/>
        <v>135000</v>
      </c>
      <c r="N6" s="42">
        <v>10.0</v>
      </c>
      <c r="O6" s="40">
        <f t="shared" si="5"/>
        <v>135000</v>
      </c>
      <c r="P6" s="42">
        <v>10.0</v>
      </c>
      <c r="Q6" s="40">
        <f t="shared" si="6"/>
        <v>135000</v>
      </c>
      <c r="R6" s="42">
        <v>4.0</v>
      </c>
      <c r="S6" s="40">
        <f t="shared" si="7"/>
        <v>54000</v>
      </c>
      <c r="U6" s="40">
        <f t="shared" si="8"/>
        <v>0</v>
      </c>
      <c r="W6" s="40">
        <f t="shared" si="9"/>
        <v>0</v>
      </c>
      <c r="X6" s="43">
        <v>40.0</v>
      </c>
      <c r="Y6" s="44">
        <v>10.0</v>
      </c>
      <c r="Z6" s="40">
        <f t="shared" si="10"/>
        <v>270000</v>
      </c>
      <c r="AA6" s="44">
        <v>10.0</v>
      </c>
      <c r="AB6" s="40">
        <f t="shared" si="11"/>
        <v>270000</v>
      </c>
      <c r="AC6" s="44">
        <v>10.0</v>
      </c>
      <c r="AD6" s="40">
        <f t="shared" si="12"/>
        <v>270000</v>
      </c>
      <c r="AE6" s="44">
        <v>10.0</v>
      </c>
      <c r="AF6" s="40">
        <f t="shared" si="13"/>
        <v>270000</v>
      </c>
    </row>
    <row r="7">
      <c r="A7" s="10" t="s">
        <v>80</v>
      </c>
      <c r="B7" s="10" t="s">
        <v>52</v>
      </c>
      <c r="E7" s="11">
        <v>2700.0</v>
      </c>
      <c r="F7" s="41">
        <v>72.0</v>
      </c>
      <c r="G7" s="11">
        <f t="shared" si="1"/>
        <v>72</v>
      </c>
      <c r="H7" s="39">
        <v>12.0</v>
      </c>
      <c r="I7" s="40">
        <f t="shared" si="2"/>
        <v>162000</v>
      </c>
      <c r="J7" s="42">
        <v>16.0</v>
      </c>
      <c r="K7" s="40">
        <f t="shared" si="3"/>
        <v>216000</v>
      </c>
      <c r="L7" s="42">
        <v>16.0</v>
      </c>
      <c r="M7" s="40">
        <f t="shared" si="4"/>
        <v>216000</v>
      </c>
      <c r="N7" s="42">
        <v>14.0</v>
      </c>
      <c r="O7" s="40">
        <f t="shared" si="5"/>
        <v>189000</v>
      </c>
      <c r="P7" s="42">
        <v>10.0</v>
      </c>
      <c r="Q7" s="40">
        <f t="shared" si="6"/>
        <v>135000</v>
      </c>
      <c r="R7" s="42">
        <v>4.0</v>
      </c>
      <c r="S7" s="40">
        <f t="shared" si="7"/>
        <v>54000</v>
      </c>
      <c r="U7" s="40">
        <f t="shared" si="8"/>
        <v>0</v>
      </c>
      <c r="W7" s="40">
        <f t="shared" si="9"/>
        <v>0</v>
      </c>
      <c r="X7" s="47">
        <v>0.0</v>
      </c>
      <c r="Y7" s="44">
        <v>0.0</v>
      </c>
      <c r="Z7" s="40">
        <f t="shared" si="10"/>
        <v>0</v>
      </c>
      <c r="AA7" s="44">
        <v>0.0</v>
      </c>
      <c r="AB7" s="40">
        <f t="shared" si="11"/>
        <v>0</v>
      </c>
      <c r="AC7" s="44">
        <v>0.0</v>
      </c>
      <c r="AD7" s="40">
        <f t="shared" si="12"/>
        <v>0</v>
      </c>
      <c r="AE7" s="44">
        <v>0.0</v>
      </c>
      <c r="AF7" s="40">
        <f t="shared" si="13"/>
        <v>0</v>
      </c>
    </row>
    <row r="8">
      <c r="A8" s="10" t="s">
        <v>30</v>
      </c>
      <c r="B8" s="10" t="s">
        <v>31</v>
      </c>
      <c r="D8" s="10" t="s">
        <v>17</v>
      </c>
      <c r="E8" s="11">
        <v>2700.0</v>
      </c>
      <c r="F8" s="41">
        <v>40.0</v>
      </c>
      <c r="G8" s="11">
        <f t="shared" si="1"/>
        <v>46</v>
      </c>
      <c r="H8" s="39">
        <v>6.0</v>
      </c>
      <c r="I8" s="40">
        <f t="shared" si="2"/>
        <v>81000</v>
      </c>
      <c r="J8" s="42">
        <v>8.0</v>
      </c>
      <c r="K8" s="40">
        <f t="shared" si="3"/>
        <v>108000</v>
      </c>
      <c r="L8" s="42">
        <v>8.0</v>
      </c>
      <c r="M8" s="40">
        <f t="shared" si="4"/>
        <v>108000</v>
      </c>
      <c r="N8" s="42">
        <v>8.0</v>
      </c>
      <c r="O8" s="40">
        <f t="shared" si="5"/>
        <v>108000</v>
      </c>
      <c r="P8" s="42">
        <v>12.0</v>
      </c>
      <c r="Q8" s="40">
        <f t="shared" si="6"/>
        <v>162000</v>
      </c>
      <c r="R8" s="42">
        <v>4.0</v>
      </c>
      <c r="S8" s="40">
        <f t="shared" si="7"/>
        <v>54000</v>
      </c>
      <c r="U8" s="40">
        <f t="shared" si="8"/>
        <v>0</v>
      </c>
      <c r="W8" s="40">
        <f t="shared" si="9"/>
        <v>0</v>
      </c>
      <c r="X8" s="43">
        <v>40.0</v>
      </c>
      <c r="Y8" s="44">
        <v>10.0</v>
      </c>
      <c r="Z8" s="40">
        <f t="shared" si="10"/>
        <v>270000</v>
      </c>
      <c r="AA8" s="44">
        <v>10.0</v>
      </c>
      <c r="AB8" s="40">
        <f t="shared" si="11"/>
        <v>270000</v>
      </c>
      <c r="AC8" s="44">
        <v>10.0</v>
      </c>
      <c r="AD8" s="40">
        <f t="shared" si="12"/>
        <v>270000</v>
      </c>
      <c r="AE8" s="44">
        <v>10.0</v>
      </c>
      <c r="AF8" s="40">
        <f t="shared" si="13"/>
        <v>270000</v>
      </c>
    </row>
    <row r="9">
      <c r="A9" s="10" t="s">
        <v>46</v>
      </c>
      <c r="E9" s="11">
        <v>2700.0</v>
      </c>
      <c r="F9" s="41">
        <v>32.0</v>
      </c>
      <c r="G9" s="11">
        <f t="shared" si="1"/>
        <v>32</v>
      </c>
      <c r="H9" s="39">
        <v>6.0</v>
      </c>
      <c r="I9" s="40">
        <f t="shared" si="2"/>
        <v>81000</v>
      </c>
      <c r="J9" s="42">
        <v>8.0</v>
      </c>
      <c r="K9" s="40">
        <f t="shared" si="3"/>
        <v>108000</v>
      </c>
      <c r="L9" s="42">
        <v>8.0</v>
      </c>
      <c r="M9" s="40">
        <f t="shared" si="4"/>
        <v>108000</v>
      </c>
      <c r="N9" s="42">
        <v>8.0</v>
      </c>
      <c r="O9" s="40">
        <f t="shared" si="5"/>
        <v>108000</v>
      </c>
      <c r="P9" s="42">
        <v>2.0</v>
      </c>
      <c r="Q9" s="40">
        <f t="shared" si="6"/>
        <v>27000</v>
      </c>
      <c r="R9" s="42">
        <v>0.0</v>
      </c>
      <c r="S9" s="40">
        <f t="shared" si="7"/>
        <v>0</v>
      </c>
      <c r="U9" s="40">
        <f t="shared" si="8"/>
        <v>0</v>
      </c>
      <c r="W9" s="40">
        <f t="shared" si="9"/>
        <v>0</v>
      </c>
      <c r="X9" s="43">
        <v>32.0</v>
      </c>
      <c r="Y9" s="44">
        <v>8.0</v>
      </c>
      <c r="Z9" s="40">
        <f t="shared" si="10"/>
        <v>216000</v>
      </c>
      <c r="AA9" s="44">
        <v>8.0</v>
      </c>
      <c r="AB9" s="40">
        <f t="shared" si="11"/>
        <v>216000</v>
      </c>
      <c r="AC9" s="44">
        <v>8.0</v>
      </c>
      <c r="AD9" s="40">
        <f t="shared" si="12"/>
        <v>216000</v>
      </c>
      <c r="AE9" s="44">
        <v>8.0</v>
      </c>
      <c r="AF9" s="40">
        <f t="shared" si="13"/>
        <v>216000</v>
      </c>
    </row>
    <row r="10">
      <c r="A10" s="10" t="s">
        <v>36</v>
      </c>
      <c r="B10" s="10" t="s">
        <v>37</v>
      </c>
      <c r="E10" s="11">
        <v>2700.0</v>
      </c>
      <c r="F10" s="41">
        <v>56.0</v>
      </c>
      <c r="G10" s="11">
        <f t="shared" si="1"/>
        <v>56</v>
      </c>
      <c r="H10" s="39">
        <v>6.0</v>
      </c>
      <c r="I10" s="40">
        <f t="shared" si="2"/>
        <v>81000</v>
      </c>
      <c r="J10" s="42">
        <v>8.0</v>
      </c>
      <c r="K10" s="40">
        <f t="shared" si="3"/>
        <v>108000</v>
      </c>
      <c r="L10" s="42">
        <v>12.0</v>
      </c>
      <c r="M10" s="40">
        <f t="shared" si="4"/>
        <v>162000</v>
      </c>
      <c r="N10" s="42">
        <v>8.0</v>
      </c>
      <c r="O10" s="40">
        <f t="shared" si="5"/>
        <v>108000</v>
      </c>
      <c r="P10" s="42">
        <v>14.0</v>
      </c>
      <c r="Q10" s="40">
        <f t="shared" si="6"/>
        <v>189000</v>
      </c>
      <c r="R10" s="42">
        <v>8.0</v>
      </c>
      <c r="S10" s="40">
        <f t="shared" si="7"/>
        <v>108000</v>
      </c>
      <c r="U10" s="40">
        <f t="shared" si="8"/>
        <v>0</v>
      </c>
      <c r="W10" s="40">
        <f t="shared" si="9"/>
        <v>0</v>
      </c>
      <c r="X10" s="43">
        <v>40.0</v>
      </c>
      <c r="Y10" s="44">
        <v>10.0</v>
      </c>
      <c r="Z10" s="40">
        <f t="shared" si="10"/>
        <v>270000</v>
      </c>
      <c r="AA10" s="44">
        <v>10.0</v>
      </c>
      <c r="AB10" s="40">
        <f t="shared" si="11"/>
        <v>270000</v>
      </c>
      <c r="AC10" s="44">
        <v>10.0</v>
      </c>
      <c r="AD10" s="40">
        <f t="shared" si="12"/>
        <v>270000</v>
      </c>
      <c r="AE10" s="44">
        <v>10.0</v>
      </c>
      <c r="AF10" s="40">
        <f t="shared" si="13"/>
        <v>270000</v>
      </c>
    </row>
    <row r="11">
      <c r="A11" s="10" t="s">
        <v>81</v>
      </c>
      <c r="B11" s="20" t="s">
        <v>54</v>
      </c>
      <c r="E11" s="11">
        <v>2700.0</v>
      </c>
      <c r="F11" s="41">
        <v>40.0</v>
      </c>
      <c r="G11" s="11">
        <f t="shared" si="1"/>
        <v>40</v>
      </c>
      <c r="H11" s="39">
        <v>6.0</v>
      </c>
      <c r="I11" s="40">
        <f t="shared" si="2"/>
        <v>81000</v>
      </c>
      <c r="J11" s="42">
        <v>8.0</v>
      </c>
      <c r="K11" s="40">
        <f t="shared" si="3"/>
        <v>108000</v>
      </c>
      <c r="L11" s="42">
        <v>8.0</v>
      </c>
      <c r="M11" s="40">
        <f t="shared" si="4"/>
        <v>108000</v>
      </c>
      <c r="N11" s="42">
        <v>8.0</v>
      </c>
      <c r="O11" s="40">
        <f t="shared" si="5"/>
        <v>108000</v>
      </c>
      <c r="P11" s="42">
        <v>10.0</v>
      </c>
      <c r="Q11" s="40">
        <f t="shared" si="6"/>
        <v>135000</v>
      </c>
      <c r="R11" s="42">
        <v>0.0</v>
      </c>
      <c r="S11" s="40">
        <f t="shared" si="7"/>
        <v>0</v>
      </c>
      <c r="U11" s="40">
        <f t="shared" si="8"/>
        <v>0</v>
      </c>
      <c r="W11" s="40">
        <f t="shared" si="9"/>
        <v>0</v>
      </c>
      <c r="X11" s="43">
        <v>40.0</v>
      </c>
      <c r="Y11" s="44">
        <v>10.0</v>
      </c>
      <c r="Z11" s="40">
        <f t="shared" si="10"/>
        <v>270000</v>
      </c>
      <c r="AA11" s="44">
        <v>10.0</v>
      </c>
      <c r="AB11" s="40">
        <f t="shared" si="11"/>
        <v>270000</v>
      </c>
      <c r="AC11" s="44">
        <v>10.0</v>
      </c>
      <c r="AD11" s="40">
        <f t="shared" si="12"/>
        <v>270000</v>
      </c>
      <c r="AE11" s="44">
        <v>10.0</v>
      </c>
      <c r="AF11" s="40">
        <f t="shared" si="13"/>
        <v>270000</v>
      </c>
    </row>
    <row r="12">
      <c r="A12" s="10" t="s">
        <v>34</v>
      </c>
      <c r="B12" s="10" t="s">
        <v>35</v>
      </c>
      <c r="D12" s="10" t="s">
        <v>17</v>
      </c>
      <c r="E12" s="11" t="s">
        <v>21</v>
      </c>
      <c r="F12" s="41">
        <v>56.0</v>
      </c>
      <c r="G12" s="11">
        <f t="shared" si="1"/>
        <v>56</v>
      </c>
      <c r="H12" s="39">
        <v>6.0</v>
      </c>
      <c r="I12" s="40">
        <f t="shared" si="2"/>
        <v>81000</v>
      </c>
      <c r="J12" s="42">
        <v>8.0</v>
      </c>
      <c r="K12" s="40">
        <f t="shared" si="3"/>
        <v>108000</v>
      </c>
      <c r="L12" s="42">
        <v>12.0</v>
      </c>
      <c r="M12" s="40">
        <f t="shared" si="4"/>
        <v>162000</v>
      </c>
      <c r="N12" s="42">
        <v>8.0</v>
      </c>
      <c r="O12" s="40">
        <f t="shared" si="5"/>
        <v>108000</v>
      </c>
      <c r="P12" s="42">
        <v>14.0</v>
      </c>
      <c r="Q12" s="40">
        <f t="shared" si="6"/>
        <v>189000</v>
      </c>
      <c r="R12" s="42">
        <v>8.0</v>
      </c>
      <c r="S12" s="40">
        <f t="shared" si="7"/>
        <v>108000</v>
      </c>
      <c r="U12" s="40">
        <f t="shared" si="8"/>
        <v>0</v>
      </c>
      <c r="W12" s="40">
        <f t="shared" si="9"/>
        <v>0</v>
      </c>
      <c r="X12" s="43">
        <v>40.0</v>
      </c>
      <c r="Y12" s="44">
        <v>10.0</v>
      </c>
      <c r="Z12" s="40">
        <f t="shared" si="10"/>
        <v>270000</v>
      </c>
      <c r="AA12" s="44">
        <v>10.0</v>
      </c>
      <c r="AB12" s="40">
        <f t="shared" si="11"/>
        <v>270000</v>
      </c>
      <c r="AC12" s="44">
        <v>10.0</v>
      </c>
      <c r="AD12" s="40">
        <f t="shared" si="12"/>
        <v>270000</v>
      </c>
      <c r="AE12" s="44">
        <v>10.0</v>
      </c>
      <c r="AF12" s="40">
        <f t="shared" si="13"/>
        <v>270000</v>
      </c>
    </row>
    <row r="13">
      <c r="A13" s="10" t="s">
        <v>38</v>
      </c>
      <c r="B13" s="15" t="s">
        <v>40</v>
      </c>
      <c r="D13" s="10" t="s">
        <v>17</v>
      </c>
      <c r="E13" s="19">
        <v>2700.0</v>
      </c>
      <c r="F13" s="41">
        <v>56.0</v>
      </c>
      <c r="G13" s="11">
        <f t="shared" si="1"/>
        <v>62</v>
      </c>
      <c r="H13" s="39">
        <v>6.0</v>
      </c>
      <c r="I13" s="40">
        <f t="shared" si="2"/>
        <v>81000</v>
      </c>
      <c r="J13" s="42">
        <v>14.0</v>
      </c>
      <c r="K13" s="40">
        <f t="shared" si="3"/>
        <v>189000</v>
      </c>
      <c r="L13" s="42">
        <v>8.0</v>
      </c>
      <c r="M13" s="40">
        <f t="shared" si="4"/>
        <v>108000</v>
      </c>
      <c r="N13" s="42">
        <v>8.0</v>
      </c>
      <c r="O13" s="40">
        <f t="shared" si="5"/>
        <v>108000</v>
      </c>
      <c r="P13" s="42">
        <v>16.0</v>
      </c>
      <c r="Q13" s="40">
        <f t="shared" si="6"/>
        <v>216000</v>
      </c>
      <c r="R13" s="42">
        <v>10.0</v>
      </c>
      <c r="S13" s="40">
        <f t="shared" si="7"/>
        <v>135000</v>
      </c>
      <c r="U13" s="40">
        <f t="shared" si="8"/>
        <v>0</v>
      </c>
      <c r="W13" s="40">
        <f t="shared" si="9"/>
        <v>0</v>
      </c>
      <c r="X13" s="43">
        <v>40.0</v>
      </c>
      <c r="Y13" s="44">
        <v>10.0</v>
      </c>
      <c r="Z13" s="40">
        <f t="shared" si="10"/>
        <v>270000</v>
      </c>
      <c r="AA13" s="44">
        <v>10.0</v>
      </c>
      <c r="AB13" s="40">
        <f t="shared" si="11"/>
        <v>270000</v>
      </c>
      <c r="AC13" s="44">
        <v>10.0</v>
      </c>
      <c r="AD13" s="40">
        <f t="shared" si="12"/>
        <v>270000</v>
      </c>
      <c r="AE13" s="44">
        <v>10.0</v>
      </c>
      <c r="AF13" s="40">
        <f t="shared" si="13"/>
        <v>270000</v>
      </c>
    </row>
    <row r="14">
      <c r="A14" s="10" t="s">
        <v>82</v>
      </c>
      <c r="B14" s="15" t="s">
        <v>42</v>
      </c>
      <c r="D14" s="10" t="s">
        <v>17</v>
      </c>
      <c r="E14" s="19">
        <v>2700.0</v>
      </c>
      <c r="G14" s="11">
        <f t="shared" si="1"/>
        <v>0</v>
      </c>
      <c r="H14" s="39">
        <v>0.0</v>
      </c>
      <c r="I14" s="40">
        <f t="shared" si="2"/>
        <v>0</v>
      </c>
      <c r="J14" s="42">
        <v>0.0</v>
      </c>
      <c r="K14" s="40">
        <f t="shared" si="3"/>
        <v>0</v>
      </c>
      <c r="L14" s="42">
        <v>0.0</v>
      </c>
      <c r="M14" s="40">
        <f t="shared" si="4"/>
        <v>0</v>
      </c>
      <c r="N14" s="42">
        <v>0.0</v>
      </c>
      <c r="O14" s="40">
        <f t="shared" si="5"/>
        <v>0</v>
      </c>
      <c r="P14" s="42">
        <v>0.0</v>
      </c>
      <c r="Q14" s="40">
        <f t="shared" si="6"/>
        <v>0</v>
      </c>
      <c r="R14" s="42">
        <v>0.0</v>
      </c>
      <c r="S14" s="40">
        <f t="shared" si="7"/>
        <v>0</v>
      </c>
      <c r="U14" s="40">
        <f t="shared" si="8"/>
        <v>0</v>
      </c>
      <c r="W14" s="40">
        <f t="shared" si="9"/>
        <v>0</v>
      </c>
      <c r="X14" s="43">
        <v>72.0</v>
      </c>
      <c r="Y14" s="44">
        <v>18.0</v>
      </c>
      <c r="Z14" s="40">
        <f t="shared" si="10"/>
        <v>486000</v>
      </c>
      <c r="AA14" s="44">
        <v>18.0</v>
      </c>
      <c r="AB14" s="40">
        <f t="shared" si="11"/>
        <v>486000</v>
      </c>
      <c r="AC14" s="44">
        <v>18.0</v>
      </c>
      <c r="AD14" s="40">
        <f t="shared" si="12"/>
        <v>486000</v>
      </c>
      <c r="AE14" s="44">
        <v>18.0</v>
      </c>
      <c r="AF14" s="40">
        <f t="shared" si="13"/>
        <v>486000</v>
      </c>
    </row>
    <row r="15">
      <c r="A15" s="10" t="s">
        <v>83</v>
      </c>
      <c r="B15" s="15" t="s">
        <v>42</v>
      </c>
      <c r="D15" s="10" t="s">
        <v>17</v>
      </c>
      <c r="E15" s="19" t="s">
        <v>21</v>
      </c>
      <c r="F15" s="41">
        <v>32.0</v>
      </c>
      <c r="G15" s="11">
        <f t="shared" si="1"/>
        <v>38</v>
      </c>
      <c r="H15" s="39">
        <v>6.0</v>
      </c>
      <c r="I15" s="40">
        <f t="shared" si="2"/>
        <v>81000</v>
      </c>
      <c r="J15" s="42">
        <v>8.0</v>
      </c>
      <c r="K15" s="40">
        <f t="shared" si="3"/>
        <v>108000</v>
      </c>
      <c r="L15" s="42">
        <v>8.0</v>
      </c>
      <c r="M15" s="40">
        <f t="shared" si="4"/>
        <v>108000</v>
      </c>
      <c r="N15" s="42">
        <v>8.0</v>
      </c>
      <c r="O15" s="40">
        <f t="shared" si="5"/>
        <v>108000</v>
      </c>
      <c r="P15" s="42">
        <v>6.0</v>
      </c>
      <c r="Q15" s="40">
        <f t="shared" si="6"/>
        <v>81000</v>
      </c>
      <c r="R15" s="42">
        <v>2.0</v>
      </c>
      <c r="S15" s="40">
        <f t="shared" si="7"/>
        <v>27000</v>
      </c>
      <c r="U15" s="40">
        <f t="shared" si="8"/>
        <v>0</v>
      </c>
      <c r="W15" s="40">
        <f t="shared" si="9"/>
        <v>0</v>
      </c>
      <c r="X15" s="43">
        <v>32.0</v>
      </c>
      <c r="Y15" s="44">
        <v>8.0</v>
      </c>
      <c r="Z15" s="40">
        <f t="shared" si="10"/>
        <v>216000</v>
      </c>
      <c r="AA15" s="44">
        <v>8.0</v>
      </c>
      <c r="AB15" s="40">
        <f t="shared" si="11"/>
        <v>216000</v>
      </c>
      <c r="AC15" s="44">
        <v>8.0</v>
      </c>
      <c r="AD15" s="40">
        <f t="shared" si="12"/>
        <v>216000</v>
      </c>
      <c r="AE15" s="44">
        <v>8.0</v>
      </c>
      <c r="AF15" s="40">
        <f t="shared" si="13"/>
        <v>216000</v>
      </c>
    </row>
    <row r="16">
      <c r="A16" s="43" t="s">
        <v>84</v>
      </c>
      <c r="B16" s="10" t="s">
        <v>52</v>
      </c>
      <c r="E16" s="19">
        <v>2700.0</v>
      </c>
      <c r="F16" s="48">
        <v>0.0</v>
      </c>
      <c r="G16" s="11">
        <f t="shared" si="1"/>
        <v>0</v>
      </c>
      <c r="H16" s="49"/>
      <c r="I16" s="40">
        <f t="shared" si="2"/>
        <v>0</v>
      </c>
      <c r="K16" s="40">
        <f t="shared" si="3"/>
        <v>0</v>
      </c>
      <c r="L16" s="49"/>
      <c r="M16" s="40">
        <f t="shared" si="4"/>
        <v>0</v>
      </c>
      <c r="N16" s="49"/>
      <c r="O16" s="40">
        <f t="shared" si="5"/>
        <v>0</v>
      </c>
      <c r="P16" s="49"/>
      <c r="Q16" s="40">
        <f t="shared" si="6"/>
        <v>0</v>
      </c>
      <c r="R16" s="49"/>
      <c r="S16" s="40">
        <f t="shared" si="7"/>
        <v>0</v>
      </c>
      <c r="T16" s="49"/>
      <c r="U16" s="40">
        <f t="shared" si="8"/>
        <v>0</v>
      </c>
      <c r="W16" s="40">
        <f t="shared" si="9"/>
        <v>0</v>
      </c>
      <c r="X16" s="43">
        <v>72.0</v>
      </c>
      <c r="Y16" s="44">
        <v>18.0</v>
      </c>
      <c r="Z16" s="40">
        <f t="shared" si="10"/>
        <v>486000</v>
      </c>
      <c r="AA16" s="44">
        <v>18.0</v>
      </c>
      <c r="AB16" s="40">
        <f t="shared" si="11"/>
        <v>486000</v>
      </c>
      <c r="AC16" s="44">
        <v>18.0</v>
      </c>
      <c r="AD16" s="40">
        <f t="shared" si="12"/>
        <v>486000</v>
      </c>
      <c r="AE16" s="44">
        <v>18.0</v>
      </c>
      <c r="AF16" s="40">
        <f t="shared" si="13"/>
        <v>486000</v>
      </c>
    </row>
    <row r="17">
      <c r="A17" s="43" t="s">
        <v>85</v>
      </c>
      <c r="B17" s="20"/>
      <c r="E17" s="19">
        <v>2700.0</v>
      </c>
      <c r="F17" s="48">
        <v>0.0</v>
      </c>
      <c r="G17" s="11">
        <f t="shared" si="1"/>
        <v>0</v>
      </c>
      <c r="I17" s="40">
        <f t="shared" si="2"/>
        <v>0</v>
      </c>
      <c r="J17" s="49"/>
      <c r="K17" s="40">
        <f t="shared" si="3"/>
        <v>0</v>
      </c>
      <c r="L17" s="49"/>
      <c r="M17" s="40">
        <f t="shared" si="4"/>
        <v>0</v>
      </c>
      <c r="N17" s="49"/>
      <c r="O17" s="40">
        <f t="shared" si="5"/>
        <v>0</v>
      </c>
      <c r="P17" s="49"/>
      <c r="Q17" s="40">
        <f t="shared" si="6"/>
        <v>0</v>
      </c>
      <c r="R17" s="49"/>
      <c r="S17" s="40">
        <f t="shared" si="7"/>
        <v>0</v>
      </c>
      <c r="T17" s="49"/>
      <c r="U17" s="40">
        <f t="shared" si="8"/>
        <v>0</v>
      </c>
      <c r="W17" s="40">
        <f t="shared" si="9"/>
        <v>0</v>
      </c>
      <c r="X17" s="43">
        <v>24.0</v>
      </c>
      <c r="Y17" s="44">
        <v>6.0</v>
      </c>
      <c r="Z17" s="40">
        <f t="shared" si="10"/>
        <v>162000</v>
      </c>
      <c r="AA17" s="44">
        <v>6.0</v>
      </c>
      <c r="AB17" s="40">
        <f t="shared" si="11"/>
        <v>162000</v>
      </c>
      <c r="AC17" s="44">
        <v>6.0</v>
      </c>
      <c r="AD17" s="40">
        <f t="shared" si="12"/>
        <v>162000</v>
      </c>
      <c r="AE17" s="44">
        <v>6.0</v>
      </c>
      <c r="AF17" s="40">
        <f t="shared" si="13"/>
        <v>162000</v>
      </c>
    </row>
    <row r="18">
      <c r="A18" s="50" t="s">
        <v>86</v>
      </c>
      <c r="B18" s="51"/>
      <c r="E18" s="19">
        <v>2700.0</v>
      </c>
      <c r="F18" s="41">
        <v>40.0</v>
      </c>
      <c r="G18" s="11">
        <f t="shared" si="1"/>
        <v>40</v>
      </c>
      <c r="H18" s="39">
        <v>6.0</v>
      </c>
      <c r="I18" s="40">
        <f t="shared" si="2"/>
        <v>81000</v>
      </c>
      <c r="J18" s="42">
        <v>0.0</v>
      </c>
      <c r="K18" s="40">
        <f t="shared" si="3"/>
        <v>0</v>
      </c>
      <c r="L18" s="42">
        <v>4.0</v>
      </c>
      <c r="M18" s="40">
        <f t="shared" si="4"/>
        <v>54000</v>
      </c>
      <c r="N18" s="42">
        <v>10.0</v>
      </c>
      <c r="O18" s="40">
        <f t="shared" si="5"/>
        <v>135000</v>
      </c>
      <c r="P18" s="42">
        <v>14.0</v>
      </c>
      <c r="Q18" s="40">
        <f t="shared" si="6"/>
        <v>189000</v>
      </c>
      <c r="R18" s="42">
        <v>6.0</v>
      </c>
      <c r="S18" s="40">
        <f t="shared" si="7"/>
        <v>81000</v>
      </c>
      <c r="U18" s="40">
        <f t="shared" si="8"/>
        <v>0</v>
      </c>
      <c r="W18" s="40">
        <f t="shared" si="9"/>
        <v>0</v>
      </c>
      <c r="X18" s="43">
        <v>32.0</v>
      </c>
      <c r="Y18" s="44">
        <v>8.0</v>
      </c>
      <c r="Z18" s="40">
        <f t="shared" si="10"/>
        <v>216000</v>
      </c>
      <c r="AA18" s="44">
        <v>8.0</v>
      </c>
      <c r="AB18" s="40">
        <f t="shared" si="11"/>
        <v>216000</v>
      </c>
      <c r="AC18" s="44">
        <v>8.0</v>
      </c>
      <c r="AD18" s="40">
        <f t="shared" si="12"/>
        <v>216000</v>
      </c>
      <c r="AE18" s="44">
        <v>8.0</v>
      </c>
      <c r="AF18" s="40">
        <f t="shared" si="13"/>
        <v>216000</v>
      </c>
    </row>
    <row r="19">
      <c r="A19" s="14" t="s">
        <v>87</v>
      </c>
      <c r="B19" s="51"/>
      <c r="F19" s="52">
        <v>72.0</v>
      </c>
      <c r="G19" s="11">
        <f t="shared" si="1"/>
        <v>72</v>
      </c>
      <c r="I19" s="40">
        <f t="shared" si="2"/>
        <v>0</v>
      </c>
      <c r="K19" s="40">
        <f t="shared" si="3"/>
        <v>0</v>
      </c>
      <c r="M19" s="40">
        <f t="shared" si="4"/>
        <v>0</v>
      </c>
      <c r="O19" s="40">
        <f t="shared" si="5"/>
        <v>0</v>
      </c>
      <c r="Q19" s="40">
        <f t="shared" si="6"/>
        <v>0</v>
      </c>
      <c r="R19" s="42">
        <v>72.0</v>
      </c>
      <c r="S19" s="40">
        <f t="shared" si="7"/>
        <v>972000</v>
      </c>
      <c r="T19" s="42">
        <v>0.0</v>
      </c>
      <c r="U19" s="40">
        <f t="shared" si="8"/>
        <v>0</v>
      </c>
      <c r="W19" s="40">
        <f t="shared" si="9"/>
        <v>0</v>
      </c>
      <c r="X19" s="47">
        <v>0.0</v>
      </c>
      <c r="Z19" s="40">
        <f t="shared" si="10"/>
        <v>0</v>
      </c>
      <c r="AB19" s="40">
        <f t="shared" si="11"/>
        <v>0</v>
      </c>
      <c r="AD19" s="40">
        <f t="shared" si="12"/>
        <v>0</v>
      </c>
      <c r="AF19" s="40">
        <f t="shared" si="13"/>
        <v>0</v>
      </c>
    </row>
    <row r="20" ht="24.0" customHeight="1">
      <c r="B20" s="51"/>
      <c r="F20" s="53">
        <v>720.0</v>
      </c>
      <c r="G20" s="53">
        <f t="shared" ref="G20:AF20" si="14">SUM(G3:G19)</f>
        <v>758</v>
      </c>
      <c r="H20" s="53">
        <f t="shared" si="14"/>
        <v>96</v>
      </c>
      <c r="I20" s="53">
        <f t="shared" si="14"/>
        <v>1296000</v>
      </c>
      <c r="J20" s="53">
        <f t="shared" si="14"/>
        <v>126</v>
      </c>
      <c r="K20" s="53">
        <f t="shared" si="14"/>
        <v>1701000</v>
      </c>
      <c r="L20" s="53">
        <f t="shared" si="14"/>
        <v>128</v>
      </c>
      <c r="M20" s="53">
        <f t="shared" si="14"/>
        <v>1728000</v>
      </c>
      <c r="N20" s="53">
        <f t="shared" si="14"/>
        <v>126</v>
      </c>
      <c r="O20" s="53">
        <f t="shared" si="14"/>
        <v>1701000</v>
      </c>
      <c r="P20" s="53">
        <f t="shared" si="14"/>
        <v>150</v>
      </c>
      <c r="Q20" s="53">
        <f t="shared" si="14"/>
        <v>2025000</v>
      </c>
      <c r="R20" s="53">
        <f t="shared" si="14"/>
        <v>132</v>
      </c>
      <c r="S20" s="53">
        <f t="shared" si="14"/>
        <v>1782000</v>
      </c>
      <c r="T20" s="53">
        <f t="shared" si="14"/>
        <v>0</v>
      </c>
      <c r="U20" s="53">
        <f t="shared" si="14"/>
        <v>0</v>
      </c>
      <c r="V20" s="53">
        <f t="shared" si="14"/>
        <v>0</v>
      </c>
      <c r="W20" s="53">
        <f t="shared" si="14"/>
        <v>0</v>
      </c>
      <c r="X20" s="53">
        <f t="shared" si="14"/>
        <v>624</v>
      </c>
      <c r="Y20" s="53">
        <f t="shared" si="14"/>
        <v>156</v>
      </c>
      <c r="Z20" s="53">
        <f t="shared" si="14"/>
        <v>4212000</v>
      </c>
      <c r="AA20" s="53">
        <f t="shared" si="14"/>
        <v>156</v>
      </c>
      <c r="AB20" s="53">
        <f t="shared" si="14"/>
        <v>4212000</v>
      </c>
      <c r="AC20" s="53">
        <f t="shared" si="14"/>
        <v>156</v>
      </c>
      <c r="AD20" s="53">
        <f t="shared" si="14"/>
        <v>4212000</v>
      </c>
      <c r="AE20" s="53">
        <f t="shared" si="14"/>
        <v>156</v>
      </c>
      <c r="AF20" s="53">
        <f t="shared" si="14"/>
        <v>4212000</v>
      </c>
    </row>
    <row r="21" ht="36.75" customHeight="1">
      <c r="A21" s="20" t="s">
        <v>88</v>
      </c>
      <c r="B21" s="54" t="s">
        <v>54</v>
      </c>
      <c r="E21" s="22">
        <v>2700.0</v>
      </c>
      <c r="F21" s="22">
        <v>46.0</v>
      </c>
      <c r="G21" s="11">
        <f t="shared" ref="G21:G25" si="15">H21+J21+L21+N21+P21+R21</f>
        <v>46</v>
      </c>
      <c r="H21" s="39">
        <v>6.0</v>
      </c>
      <c r="I21" s="40">
        <f t="shared" ref="I21:I25" si="16">2700*(H21*3)</f>
        <v>48600</v>
      </c>
      <c r="J21" s="42">
        <v>8.0</v>
      </c>
      <c r="K21" s="40">
        <f t="shared" ref="K21:K25" si="17">2700*(J21*3)</f>
        <v>64800</v>
      </c>
      <c r="L21" s="42">
        <v>8.0</v>
      </c>
      <c r="M21" s="40">
        <f t="shared" ref="M21:M25" si="18">2700*(L21*3)</f>
        <v>64800</v>
      </c>
      <c r="N21" s="42">
        <v>8.0</v>
      </c>
      <c r="O21" s="40">
        <f t="shared" ref="O21:O25" si="19">2700*(N21*3)</f>
        <v>64800</v>
      </c>
      <c r="P21" s="42">
        <v>10.0</v>
      </c>
      <c r="Q21" s="40">
        <f t="shared" ref="Q21:Q25" si="20">2700*(P21*3)</f>
        <v>81000</v>
      </c>
      <c r="R21" s="42">
        <v>6.0</v>
      </c>
      <c r="S21" s="40">
        <f t="shared" ref="S21:S25" si="21">2700*(R21*3)</f>
        <v>48600</v>
      </c>
      <c r="U21" s="40">
        <f t="shared" ref="U21:U25" si="22">2700*(T21*3)</f>
        <v>0</v>
      </c>
      <c r="W21" s="40">
        <f t="shared" ref="W21:W25" si="23">2700*(V21*3)</f>
        <v>0</v>
      </c>
      <c r="X21" s="40">
        <v>48.0</v>
      </c>
      <c r="Y21" s="42">
        <v>12.0</v>
      </c>
      <c r="Z21" s="40">
        <f t="shared" ref="Z21:Z25" si="24">2700*(Y21*5)</f>
        <v>162000</v>
      </c>
      <c r="AA21" s="42">
        <v>12.0</v>
      </c>
      <c r="AB21" s="40">
        <f t="shared" ref="AB21:AB25" si="25">2700*(AA21*5)</f>
        <v>162000</v>
      </c>
      <c r="AC21" s="42">
        <v>12.0</v>
      </c>
      <c r="AD21" s="40">
        <f t="shared" ref="AD21:AD25" si="26">2700*(AC21*5)</f>
        <v>162000</v>
      </c>
      <c r="AE21" s="42">
        <v>12.0</v>
      </c>
      <c r="AF21" s="40">
        <f t="shared" ref="AF21:AF25" si="27">2700*(AE21*5)</f>
        <v>162000</v>
      </c>
    </row>
    <row r="22" ht="59.25" customHeight="1">
      <c r="A22" s="10" t="s">
        <v>89</v>
      </c>
      <c r="B22" s="10"/>
      <c r="D22" s="10" t="s">
        <v>17</v>
      </c>
      <c r="E22" s="19" t="s">
        <v>21</v>
      </c>
      <c r="F22" s="19">
        <v>0.0</v>
      </c>
      <c r="G22" s="11">
        <f t="shared" si="15"/>
        <v>0</v>
      </c>
      <c r="H22" s="39">
        <v>0.0</v>
      </c>
      <c r="I22" s="40">
        <f t="shared" si="16"/>
        <v>0</v>
      </c>
      <c r="J22" s="42">
        <v>0.0</v>
      </c>
      <c r="K22" s="40">
        <f t="shared" si="17"/>
        <v>0</v>
      </c>
      <c r="L22" s="42">
        <v>0.0</v>
      </c>
      <c r="M22" s="40">
        <f t="shared" si="18"/>
        <v>0</v>
      </c>
      <c r="N22" s="42">
        <v>0.0</v>
      </c>
      <c r="O22" s="40">
        <f t="shared" si="19"/>
        <v>0</v>
      </c>
      <c r="P22" s="42">
        <v>0.0</v>
      </c>
      <c r="Q22" s="40">
        <f t="shared" si="20"/>
        <v>0</v>
      </c>
      <c r="R22" s="42">
        <v>0.0</v>
      </c>
      <c r="S22" s="40">
        <f t="shared" si="21"/>
        <v>0</v>
      </c>
      <c r="U22" s="40">
        <f t="shared" si="22"/>
        <v>0</v>
      </c>
      <c r="W22" s="40">
        <f t="shared" si="23"/>
        <v>0</v>
      </c>
      <c r="X22" s="40">
        <v>96.0</v>
      </c>
      <c r="Y22" s="42">
        <v>24.0</v>
      </c>
      <c r="Z22" s="40">
        <f t="shared" si="24"/>
        <v>324000</v>
      </c>
      <c r="AA22" s="42">
        <v>24.0</v>
      </c>
      <c r="AB22" s="40">
        <f t="shared" si="25"/>
        <v>324000</v>
      </c>
      <c r="AC22" s="42">
        <v>24.0</v>
      </c>
      <c r="AD22" s="40">
        <f t="shared" si="26"/>
        <v>324000</v>
      </c>
      <c r="AE22" s="42">
        <v>24.0</v>
      </c>
      <c r="AF22" s="40">
        <f t="shared" si="27"/>
        <v>324000</v>
      </c>
    </row>
    <row r="23" ht="87.75" customHeight="1">
      <c r="A23" s="10" t="s">
        <v>45</v>
      </c>
      <c r="B23" s="10"/>
      <c r="D23" s="10" t="s">
        <v>17</v>
      </c>
      <c r="E23" s="19">
        <v>2700.0</v>
      </c>
      <c r="F23" s="19">
        <v>0.0</v>
      </c>
      <c r="G23" s="11">
        <f t="shared" si="15"/>
        <v>0</v>
      </c>
      <c r="H23" s="39">
        <v>0.0</v>
      </c>
      <c r="I23" s="40">
        <f t="shared" si="16"/>
        <v>0</v>
      </c>
      <c r="J23" s="42">
        <v>0.0</v>
      </c>
      <c r="K23" s="40">
        <f t="shared" si="17"/>
        <v>0</v>
      </c>
      <c r="L23" s="42">
        <v>0.0</v>
      </c>
      <c r="M23" s="40">
        <f t="shared" si="18"/>
        <v>0</v>
      </c>
      <c r="N23" s="42">
        <v>0.0</v>
      </c>
      <c r="O23" s="40">
        <f t="shared" si="19"/>
        <v>0</v>
      </c>
      <c r="P23" s="42">
        <v>0.0</v>
      </c>
      <c r="Q23" s="40">
        <f t="shared" si="20"/>
        <v>0</v>
      </c>
      <c r="R23" s="42">
        <v>0.0</v>
      </c>
      <c r="S23" s="40">
        <f t="shared" si="21"/>
        <v>0</v>
      </c>
      <c r="U23" s="40">
        <f t="shared" si="22"/>
        <v>0</v>
      </c>
      <c r="W23" s="40">
        <f t="shared" si="23"/>
        <v>0</v>
      </c>
      <c r="X23" s="40">
        <v>48.0</v>
      </c>
      <c r="Y23" s="42">
        <v>12.0</v>
      </c>
      <c r="Z23" s="40">
        <f t="shared" si="24"/>
        <v>162000</v>
      </c>
      <c r="AA23" s="42">
        <v>12.0</v>
      </c>
      <c r="AB23" s="40">
        <f t="shared" si="25"/>
        <v>162000</v>
      </c>
      <c r="AC23" s="42">
        <v>12.0</v>
      </c>
      <c r="AD23" s="40">
        <f t="shared" si="26"/>
        <v>162000</v>
      </c>
      <c r="AE23" s="42">
        <v>12.0</v>
      </c>
      <c r="AF23" s="40">
        <f t="shared" si="27"/>
        <v>162000</v>
      </c>
    </row>
    <row r="24" ht="62.25" customHeight="1">
      <c r="A24" s="10" t="s">
        <v>48</v>
      </c>
      <c r="B24" s="10" t="s">
        <v>49</v>
      </c>
      <c r="D24" s="10" t="s">
        <v>17</v>
      </c>
      <c r="E24" s="19">
        <v>2700.0</v>
      </c>
      <c r="F24" s="19">
        <v>24.0</v>
      </c>
      <c r="G24" s="11">
        <f t="shared" si="15"/>
        <v>34</v>
      </c>
      <c r="H24" s="42">
        <v>6.0</v>
      </c>
      <c r="I24" s="40">
        <f t="shared" si="16"/>
        <v>48600</v>
      </c>
      <c r="J24" s="42">
        <v>8.0</v>
      </c>
      <c r="K24" s="40">
        <f t="shared" si="17"/>
        <v>64800</v>
      </c>
      <c r="L24" s="42">
        <v>8.0</v>
      </c>
      <c r="M24" s="40">
        <f t="shared" si="18"/>
        <v>64800</v>
      </c>
      <c r="N24" s="42">
        <v>8.0</v>
      </c>
      <c r="O24" s="40">
        <f t="shared" si="19"/>
        <v>64800</v>
      </c>
      <c r="P24" s="42">
        <v>4.0</v>
      </c>
      <c r="Q24" s="40">
        <f t="shared" si="20"/>
        <v>32400</v>
      </c>
      <c r="R24" s="42">
        <v>0.0</v>
      </c>
      <c r="S24" s="40">
        <f t="shared" si="21"/>
        <v>0</v>
      </c>
      <c r="U24" s="40">
        <f t="shared" si="22"/>
        <v>0</v>
      </c>
      <c r="W24" s="40">
        <f t="shared" si="23"/>
        <v>0</v>
      </c>
      <c r="X24" s="40">
        <v>144.0</v>
      </c>
      <c r="Y24" s="42">
        <v>36.0</v>
      </c>
      <c r="Z24" s="40">
        <f t="shared" si="24"/>
        <v>486000</v>
      </c>
      <c r="AA24" s="42">
        <v>36.0</v>
      </c>
      <c r="AB24" s="40">
        <f t="shared" si="25"/>
        <v>486000</v>
      </c>
      <c r="AC24" s="42">
        <v>36.0</v>
      </c>
      <c r="AD24" s="40">
        <f t="shared" si="26"/>
        <v>486000</v>
      </c>
      <c r="AE24" s="42">
        <v>36.0</v>
      </c>
      <c r="AF24" s="40">
        <f t="shared" si="27"/>
        <v>486000</v>
      </c>
    </row>
    <row r="25" ht="15.75" customHeight="1">
      <c r="A25" s="10" t="s">
        <v>87</v>
      </c>
      <c r="F25" s="52">
        <v>0.0</v>
      </c>
      <c r="G25" s="11">
        <f t="shared" si="15"/>
        <v>0</v>
      </c>
      <c r="I25" s="40">
        <f t="shared" si="16"/>
        <v>0</v>
      </c>
      <c r="K25" s="40">
        <f t="shared" si="17"/>
        <v>0</v>
      </c>
      <c r="M25" s="40">
        <f t="shared" si="18"/>
        <v>0</v>
      </c>
      <c r="O25" s="40">
        <f t="shared" si="19"/>
        <v>0</v>
      </c>
      <c r="Q25" s="40">
        <f t="shared" si="20"/>
        <v>0</v>
      </c>
      <c r="R25" s="42">
        <v>0.0</v>
      </c>
      <c r="S25" s="40">
        <f t="shared" si="21"/>
        <v>0</v>
      </c>
      <c r="U25" s="40">
        <f t="shared" si="22"/>
        <v>0</v>
      </c>
      <c r="W25" s="40">
        <f t="shared" si="23"/>
        <v>0</v>
      </c>
      <c r="Z25" s="40">
        <f t="shared" si="24"/>
        <v>0</v>
      </c>
      <c r="AB25" s="40">
        <f t="shared" si="25"/>
        <v>0</v>
      </c>
      <c r="AD25" s="40">
        <f t="shared" si="26"/>
        <v>0</v>
      </c>
      <c r="AF25" s="40">
        <f t="shared" si="27"/>
        <v>0</v>
      </c>
    </row>
    <row r="26" ht="15.75" customHeight="1">
      <c r="A26" s="55" t="s">
        <v>90</v>
      </c>
      <c r="F26" s="53">
        <f t="shared" ref="F26:W26" si="28">SUM(F21:F25)</f>
        <v>70</v>
      </c>
      <c r="G26" s="53">
        <f t="shared" si="28"/>
        <v>80</v>
      </c>
      <c r="H26" s="53">
        <f t="shared" si="28"/>
        <v>12</v>
      </c>
      <c r="I26" s="53">
        <f t="shared" si="28"/>
        <v>97200</v>
      </c>
      <c r="J26" s="53">
        <f t="shared" si="28"/>
        <v>16</v>
      </c>
      <c r="K26" s="53">
        <f t="shared" si="28"/>
        <v>129600</v>
      </c>
      <c r="L26" s="53">
        <f t="shared" si="28"/>
        <v>16</v>
      </c>
      <c r="M26" s="53">
        <f t="shared" si="28"/>
        <v>129600</v>
      </c>
      <c r="N26" s="53">
        <f t="shared" si="28"/>
        <v>16</v>
      </c>
      <c r="O26" s="53">
        <f t="shared" si="28"/>
        <v>129600</v>
      </c>
      <c r="P26" s="53">
        <f t="shared" si="28"/>
        <v>14</v>
      </c>
      <c r="Q26" s="53">
        <f t="shared" si="28"/>
        <v>113400</v>
      </c>
      <c r="R26" s="53">
        <f t="shared" si="28"/>
        <v>6</v>
      </c>
      <c r="S26" s="53">
        <f t="shared" si="28"/>
        <v>48600</v>
      </c>
      <c r="T26" s="53">
        <f t="shared" si="28"/>
        <v>0</v>
      </c>
      <c r="U26" s="53">
        <f t="shared" si="28"/>
        <v>0</v>
      </c>
      <c r="V26" s="53">
        <f t="shared" si="28"/>
        <v>0</v>
      </c>
      <c r="W26" s="53">
        <f t="shared" si="28"/>
        <v>0</v>
      </c>
      <c r="Y26" s="53">
        <f t="shared" ref="Y26:AF26" si="29">SUM(Y21:Y25)</f>
        <v>84</v>
      </c>
      <c r="Z26" s="53">
        <f t="shared" si="29"/>
        <v>1134000</v>
      </c>
      <c r="AA26" s="53">
        <f t="shared" si="29"/>
        <v>84</v>
      </c>
      <c r="AB26" s="53">
        <f t="shared" si="29"/>
        <v>1134000</v>
      </c>
      <c r="AC26" s="53">
        <f t="shared" si="29"/>
        <v>84</v>
      </c>
      <c r="AD26" s="53">
        <f t="shared" si="29"/>
        <v>1134000</v>
      </c>
      <c r="AE26" s="53">
        <f t="shared" si="29"/>
        <v>84</v>
      </c>
      <c r="AF26" s="53">
        <f t="shared" si="29"/>
        <v>1134000</v>
      </c>
    </row>
    <row r="27" ht="24.0" customHeight="1">
      <c r="A27" s="10"/>
      <c r="B27" s="10" t="s">
        <v>57</v>
      </c>
      <c r="C27" s="29">
        <v>385542.0</v>
      </c>
      <c r="D27" s="30">
        <v>2.49</v>
      </c>
      <c r="E27" s="29">
        <f t="shared" ref="E27:E28" si="30">C27*D27</f>
        <v>959999.58</v>
      </c>
      <c r="I27" s="29">
        <v>959999.58</v>
      </c>
      <c r="K27" s="29">
        <v>959999.5800000001</v>
      </c>
      <c r="M27" s="29">
        <v>959999.5800000001</v>
      </c>
      <c r="O27" s="29">
        <v>959999.5800000001</v>
      </c>
      <c r="Q27" s="29">
        <v>959999.5800000001</v>
      </c>
      <c r="S27" s="29">
        <v>959999.5800000001</v>
      </c>
      <c r="U27" s="29">
        <v>959999.5800000001</v>
      </c>
      <c r="W27" s="29">
        <v>959999.5800000001</v>
      </c>
      <c r="Z27" s="29">
        <v>959999.5800000001</v>
      </c>
      <c r="AB27" s="29">
        <v>959999.5800000001</v>
      </c>
      <c r="AD27" s="29">
        <v>959999.5800000001</v>
      </c>
      <c r="AF27" s="29">
        <v>959999.5800000001</v>
      </c>
    </row>
    <row r="28" ht="24.75" customHeight="1">
      <c r="A28" s="10"/>
      <c r="B28" s="10" t="s">
        <v>58</v>
      </c>
      <c r="C28" s="29">
        <v>377352.0</v>
      </c>
      <c r="D28" s="10">
        <v>2.53</v>
      </c>
      <c r="E28" s="29">
        <f t="shared" si="30"/>
        <v>954700.56</v>
      </c>
      <c r="I28" s="56">
        <v>954700.5599999999</v>
      </c>
      <c r="K28" s="56">
        <v>954700.5599999999</v>
      </c>
      <c r="M28" s="56">
        <v>954700.5599999999</v>
      </c>
      <c r="O28" s="56">
        <v>954700.5599999999</v>
      </c>
      <c r="Q28" s="56">
        <v>954700.5599999999</v>
      </c>
      <c r="S28" s="56">
        <v>954700.5599999999</v>
      </c>
      <c r="U28" s="56">
        <v>954700.5599999999</v>
      </c>
      <c r="W28" s="56">
        <v>954700.5599999999</v>
      </c>
      <c r="Z28" s="56">
        <v>954700.5599999999</v>
      </c>
      <c r="AB28" s="56">
        <v>954700.5599999999</v>
      </c>
      <c r="AD28" s="56">
        <v>954700.5599999999</v>
      </c>
      <c r="AF28" s="56">
        <v>954700.5599999999</v>
      </c>
    </row>
    <row r="29" ht="18.0" customHeight="1">
      <c r="A29" s="10"/>
      <c r="F29" s="52">
        <v>0.0</v>
      </c>
      <c r="G29" s="57">
        <v>24.0</v>
      </c>
      <c r="R29" s="42">
        <v>0.0</v>
      </c>
      <c r="S29" s="40">
        <f>2700*(R29*3)</f>
        <v>0</v>
      </c>
    </row>
    <row r="30" ht="30.75" customHeight="1">
      <c r="A30" s="10"/>
      <c r="C30" s="57">
        <v>350000.0</v>
      </c>
      <c r="D30" s="58">
        <v>2.0</v>
      </c>
      <c r="E30" s="29">
        <f t="shared" ref="E30:E35" si="31">C30*D30</f>
        <v>700000</v>
      </c>
      <c r="Y30" s="42">
        <v>0.0</v>
      </c>
      <c r="Z30" s="40">
        <v>600000.0</v>
      </c>
      <c r="AA30" s="42">
        <v>0.0</v>
      </c>
      <c r="AB30" s="40">
        <v>600000.0</v>
      </c>
      <c r="AC30" s="42">
        <v>0.0</v>
      </c>
      <c r="AD30" s="40">
        <v>600000.0</v>
      </c>
      <c r="AE30" s="42">
        <v>0.0</v>
      </c>
      <c r="AF30" s="40">
        <v>600000.0</v>
      </c>
    </row>
    <row r="31" ht="24.0" customHeight="1">
      <c r="A31" s="10"/>
      <c r="C31" s="57">
        <v>350000.0</v>
      </c>
      <c r="D31" s="58">
        <v>2.0</v>
      </c>
      <c r="E31" s="29">
        <f t="shared" si="31"/>
        <v>700000</v>
      </c>
      <c r="Y31" s="42">
        <v>0.0</v>
      </c>
      <c r="Z31" s="40">
        <v>600000.0</v>
      </c>
      <c r="AA31" s="42">
        <v>0.0</v>
      </c>
      <c r="AB31" s="40">
        <v>600000.0</v>
      </c>
      <c r="AC31" s="42">
        <v>0.0</v>
      </c>
      <c r="AD31" s="40">
        <v>600000.0</v>
      </c>
      <c r="AE31" s="42">
        <v>0.0</v>
      </c>
      <c r="AF31" s="40">
        <v>600000.0</v>
      </c>
    </row>
    <row r="32" ht="26.25" customHeight="1">
      <c r="A32" s="10"/>
      <c r="C32" s="57">
        <v>350000.0</v>
      </c>
      <c r="D32" s="58">
        <v>2.0</v>
      </c>
      <c r="E32" s="29">
        <f t="shared" si="31"/>
        <v>700000</v>
      </c>
      <c r="Y32" s="42">
        <v>0.0</v>
      </c>
      <c r="Z32" s="40">
        <v>600000.0</v>
      </c>
      <c r="AA32" s="42">
        <v>0.0</v>
      </c>
      <c r="AB32" s="40">
        <v>600000.0</v>
      </c>
      <c r="AC32" s="42">
        <v>0.0</v>
      </c>
      <c r="AD32" s="40">
        <v>600000.0</v>
      </c>
      <c r="AE32" s="42">
        <v>0.0</v>
      </c>
      <c r="AF32" s="40">
        <v>600000.0</v>
      </c>
    </row>
    <row r="33" ht="29.25" customHeight="1">
      <c r="A33" s="10"/>
      <c r="C33" s="57">
        <v>350000.0</v>
      </c>
      <c r="D33" s="58">
        <v>2.0</v>
      </c>
      <c r="E33" s="29">
        <f t="shared" si="31"/>
        <v>700000</v>
      </c>
      <c r="Y33" s="42">
        <v>0.0</v>
      </c>
      <c r="Z33" s="40">
        <v>600000.0</v>
      </c>
      <c r="AA33" s="42">
        <v>0.0</v>
      </c>
      <c r="AB33" s="40">
        <v>600000.0</v>
      </c>
      <c r="AC33" s="42">
        <v>0.0</v>
      </c>
      <c r="AD33" s="40">
        <v>600000.0</v>
      </c>
      <c r="AE33" s="42">
        <v>0.0</v>
      </c>
      <c r="AF33" s="40">
        <v>600000.0</v>
      </c>
    </row>
    <row r="34" ht="29.25" customHeight="1">
      <c r="A34" s="10"/>
      <c r="C34" s="57">
        <v>350000.0</v>
      </c>
      <c r="D34" s="58">
        <v>2.0</v>
      </c>
      <c r="E34" s="29">
        <f t="shared" si="31"/>
        <v>700000</v>
      </c>
      <c r="Z34" s="40">
        <v>600000.0</v>
      </c>
      <c r="AB34" s="40">
        <v>600000.0</v>
      </c>
      <c r="AD34" s="40">
        <v>600000.0</v>
      </c>
      <c r="AF34" s="40">
        <v>600000.0</v>
      </c>
    </row>
    <row r="35" ht="29.25" customHeight="1">
      <c r="A35" s="10"/>
      <c r="C35" s="57">
        <v>350000.0</v>
      </c>
      <c r="D35" s="58">
        <v>2.0</v>
      </c>
      <c r="E35" s="29">
        <f t="shared" si="31"/>
        <v>700000</v>
      </c>
      <c r="Z35" s="40">
        <v>600000.0</v>
      </c>
      <c r="AB35" s="40">
        <v>600000.0</v>
      </c>
      <c r="AD35" s="40">
        <v>600000.0</v>
      </c>
      <c r="AF35" s="40">
        <v>600000.0</v>
      </c>
    </row>
    <row r="36" ht="13.5" customHeight="1">
      <c r="A36" s="55" t="s">
        <v>91</v>
      </c>
      <c r="F36" s="53">
        <f t="shared" ref="F36:W36" si="32">SUM(F27:F29)</f>
        <v>0</v>
      </c>
      <c r="G36" s="53">
        <f t="shared" si="32"/>
        <v>24</v>
      </c>
      <c r="H36" s="53">
        <f t="shared" si="32"/>
        <v>0</v>
      </c>
      <c r="I36" s="53">
        <f t="shared" si="32"/>
        <v>1914700.14</v>
      </c>
      <c r="J36" s="53">
        <f t="shared" si="32"/>
        <v>0</v>
      </c>
      <c r="K36" s="53">
        <f t="shared" si="32"/>
        <v>1914700.14</v>
      </c>
      <c r="L36" s="53">
        <f t="shared" si="32"/>
        <v>0</v>
      </c>
      <c r="M36" s="53">
        <f t="shared" si="32"/>
        <v>1914700.14</v>
      </c>
      <c r="N36" s="53">
        <f t="shared" si="32"/>
        <v>0</v>
      </c>
      <c r="O36" s="53">
        <f t="shared" si="32"/>
        <v>1914700.14</v>
      </c>
      <c r="P36" s="53">
        <f t="shared" si="32"/>
        <v>0</v>
      </c>
      <c r="Q36" s="53">
        <f t="shared" si="32"/>
        <v>1914700.14</v>
      </c>
      <c r="R36" s="53">
        <f t="shared" si="32"/>
        <v>0</v>
      </c>
      <c r="S36" s="53">
        <f t="shared" si="32"/>
        <v>1914700.14</v>
      </c>
      <c r="T36" s="53">
        <f t="shared" si="32"/>
        <v>0</v>
      </c>
      <c r="U36" s="53">
        <f t="shared" si="32"/>
        <v>1914700.14</v>
      </c>
      <c r="V36" s="53">
        <f t="shared" si="32"/>
        <v>0</v>
      </c>
      <c r="W36" s="53">
        <f t="shared" si="32"/>
        <v>1914700.14</v>
      </c>
      <c r="Y36" s="53">
        <f>SUM(Y27:Y29)</f>
        <v>0</v>
      </c>
      <c r="Z36" s="53">
        <f>SUM(Z27:Z35)</f>
        <v>5514700.14</v>
      </c>
      <c r="AA36" s="53">
        <f>SUM(AA27:AA29)</f>
        <v>0</v>
      </c>
      <c r="AB36" s="53">
        <f>SUM(AB27:AB35)</f>
        <v>5514700.14</v>
      </c>
      <c r="AC36" s="53">
        <f>SUM(AC27:AC29)</f>
        <v>0</v>
      </c>
      <c r="AD36" s="53">
        <f>SUM(AD27:AD35)</f>
        <v>5514700.14</v>
      </c>
      <c r="AE36" s="53">
        <f>SUM(AE27:AE29)</f>
        <v>0</v>
      </c>
      <c r="AF36" s="53">
        <f>SUM(AF27:AF35)</f>
        <v>5514700.14</v>
      </c>
    </row>
    <row r="37" ht="19.5" customHeight="1">
      <c r="A37" s="59" t="s">
        <v>92</v>
      </c>
      <c r="B37" s="60" t="s">
        <v>93</v>
      </c>
      <c r="C37" s="29">
        <v>600000.0</v>
      </c>
      <c r="D37" s="30">
        <v>1.0</v>
      </c>
      <c r="E37" s="29">
        <f t="shared" ref="E37:E49" si="33">C37*D37</f>
        <v>600000</v>
      </c>
      <c r="I37" s="29">
        <v>600000.0</v>
      </c>
      <c r="K37" s="29">
        <v>600000.0</v>
      </c>
      <c r="M37" s="29">
        <v>600000.0</v>
      </c>
      <c r="O37" s="29">
        <v>600000.0</v>
      </c>
      <c r="Q37" s="29">
        <v>600000.0</v>
      </c>
      <c r="S37" s="29">
        <v>600000.0</v>
      </c>
      <c r="U37" s="29">
        <v>600000.0</v>
      </c>
      <c r="W37" s="29">
        <v>600000.0</v>
      </c>
      <c r="Z37" s="29">
        <v>600000.0</v>
      </c>
      <c r="AB37" s="29">
        <v>600000.0</v>
      </c>
      <c r="AD37" s="29">
        <v>600000.0</v>
      </c>
      <c r="AF37" s="29">
        <v>600000.0</v>
      </c>
    </row>
    <row r="38" ht="39.0" customHeight="1">
      <c r="A38" s="59" t="s">
        <v>94</v>
      </c>
      <c r="B38" s="61" t="s">
        <v>95</v>
      </c>
      <c r="C38" s="29">
        <v>350000.0</v>
      </c>
      <c r="D38" s="30">
        <v>1.0</v>
      </c>
      <c r="E38" s="29">
        <f t="shared" si="33"/>
        <v>350000</v>
      </c>
      <c r="I38" s="62">
        <v>350000.0</v>
      </c>
      <c r="K38" s="62">
        <v>350000.0</v>
      </c>
      <c r="M38" s="62">
        <v>350000.0</v>
      </c>
      <c r="O38" s="62">
        <v>350000.0</v>
      </c>
      <c r="Q38" s="62">
        <v>350000.0</v>
      </c>
      <c r="S38" s="62">
        <v>350000.0</v>
      </c>
      <c r="U38" s="62">
        <v>350000.0</v>
      </c>
      <c r="W38" s="62">
        <v>350000.0</v>
      </c>
      <c r="Z38" s="62">
        <v>350000.0</v>
      </c>
      <c r="AB38" s="62">
        <v>350000.0</v>
      </c>
      <c r="AD38" s="62">
        <v>350000.0</v>
      </c>
      <c r="AF38" s="62">
        <v>350000.0</v>
      </c>
    </row>
    <row r="39" ht="39.75" customHeight="1">
      <c r="A39" s="59" t="s">
        <v>96</v>
      </c>
      <c r="B39" s="61" t="s">
        <v>97</v>
      </c>
      <c r="C39" s="29">
        <v>450000.0</v>
      </c>
      <c r="D39" s="30">
        <v>1.0</v>
      </c>
      <c r="E39" s="29">
        <f t="shared" si="33"/>
        <v>450000</v>
      </c>
      <c r="I39" s="62">
        <v>450000.0</v>
      </c>
      <c r="K39" s="62">
        <v>450000.0</v>
      </c>
      <c r="M39" s="62">
        <v>450000.0</v>
      </c>
      <c r="O39" s="62">
        <v>450000.0</v>
      </c>
      <c r="Q39" s="62">
        <v>450000.0</v>
      </c>
      <c r="S39" s="62">
        <v>450000.0</v>
      </c>
      <c r="U39" s="62">
        <v>450000.0</v>
      </c>
      <c r="W39" s="62">
        <v>450000.0</v>
      </c>
      <c r="Z39" s="62">
        <v>450000.0</v>
      </c>
      <c r="AB39" s="62">
        <v>450000.0</v>
      </c>
      <c r="AD39" s="62">
        <v>450000.0</v>
      </c>
      <c r="AF39" s="62">
        <v>450000.0</v>
      </c>
    </row>
    <row r="40" ht="21.75" customHeight="1">
      <c r="A40" s="59" t="s">
        <v>98</v>
      </c>
      <c r="B40" s="60" t="s">
        <v>99</v>
      </c>
      <c r="C40" s="29">
        <v>300000.0</v>
      </c>
      <c r="D40" s="30">
        <v>0.5</v>
      </c>
      <c r="E40" s="29">
        <f t="shared" si="33"/>
        <v>150000</v>
      </c>
      <c r="I40" s="62">
        <v>150000.0</v>
      </c>
      <c r="K40" s="62">
        <v>150000.0</v>
      </c>
      <c r="M40" s="62">
        <v>150000.0</v>
      </c>
      <c r="O40" s="62">
        <v>150000.0</v>
      </c>
      <c r="Q40" s="62">
        <v>150000.0</v>
      </c>
      <c r="S40" s="62">
        <v>150000.0</v>
      </c>
      <c r="U40" s="62">
        <v>150000.0</v>
      </c>
      <c r="W40" s="62">
        <v>150000.0</v>
      </c>
      <c r="Z40" s="62">
        <v>150000.0</v>
      </c>
      <c r="AB40" s="62">
        <v>150000.0</v>
      </c>
      <c r="AD40" s="62">
        <v>150000.0</v>
      </c>
      <c r="AF40" s="62">
        <v>150000.0</v>
      </c>
    </row>
    <row r="41" ht="25.5" customHeight="1">
      <c r="A41" s="59" t="s">
        <v>100</v>
      </c>
      <c r="C41" s="29">
        <v>300000.0</v>
      </c>
      <c r="D41" s="30">
        <v>1.0</v>
      </c>
      <c r="E41" s="29">
        <f t="shared" si="33"/>
        <v>300000</v>
      </c>
      <c r="I41" s="62">
        <v>0.0</v>
      </c>
      <c r="K41" s="62">
        <v>0.0</v>
      </c>
      <c r="M41" s="62">
        <v>0.0</v>
      </c>
      <c r="O41" s="62">
        <v>0.0</v>
      </c>
      <c r="Q41" s="62">
        <v>0.0</v>
      </c>
      <c r="S41" s="62">
        <v>0.0</v>
      </c>
      <c r="U41" s="62">
        <v>0.0</v>
      </c>
      <c r="W41" s="62">
        <v>0.0</v>
      </c>
      <c r="Z41" s="62">
        <v>300000.0</v>
      </c>
      <c r="AB41" s="62">
        <v>300000.0</v>
      </c>
      <c r="AD41" s="62">
        <v>300000.0</v>
      </c>
      <c r="AF41" s="62">
        <v>300000.0</v>
      </c>
    </row>
    <row r="42" ht="37.5" customHeight="1">
      <c r="A42" s="59" t="s">
        <v>101</v>
      </c>
      <c r="B42" s="60" t="s">
        <v>44</v>
      </c>
      <c r="C42" s="29">
        <v>250000.0</v>
      </c>
      <c r="D42" s="30">
        <v>1.0</v>
      </c>
      <c r="E42" s="29">
        <f t="shared" si="33"/>
        <v>250000</v>
      </c>
      <c r="I42" s="62">
        <v>250000.0</v>
      </c>
      <c r="K42" s="62">
        <v>250000.0</v>
      </c>
      <c r="M42" s="62">
        <v>250000.0</v>
      </c>
      <c r="O42" s="62">
        <v>250000.0</v>
      </c>
      <c r="Q42" s="62">
        <v>250000.0</v>
      </c>
      <c r="S42" s="62">
        <v>250000.0</v>
      </c>
      <c r="U42" s="62">
        <v>250000.0</v>
      </c>
      <c r="W42" s="62">
        <v>250000.0</v>
      </c>
      <c r="Z42" s="62">
        <v>250000.0</v>
      </c>
      <c r="AB42" s="62">
        <v>250000.0</v>
      </c>
      <c r="AD42" s="62">
        <v>250000.0</v>
      </c>
      <c r="AF42" s="62">
        <v>250000.0</v>
      </c>
    </row>
    <row r="43" ht="25.5" customHeight="1">
      <c r="A43" s="59" t="s">
        <v>102</v>
      </c>
      <c r="B43" s="63" t="s">
        <v>28</v>
      </c>
      <c r="C43" s="29">
        <v>250000.0</v>
      </c>
      <c r="D43" s="30">
        <v>1.0</v>
      </c>
      <c r="E43" s="29">
        <f t="shared" si="33"/>
        <v>250000</v>
      </c>
      <c r="I43" s="62">
        <v>250000.0</v>
      </c>
      <c r="K43" s="62">
        <v>250000.0</v>
      </c>
      <c r="M43" s="62">
        <v>250000.0</v>
      </c>
      <c r="O43" s="62">
        <v>250000.0</v>
      </c>
      <c r="Q43" s="62">
        <v>250000.0</v>
      </c>
      <c r="S43" s="62">
        <v>250000.0</v>
      </c>
      <c r="U43" s="62">
        <v>250000.0</v>
      </c>
      <c r="W43" s="62">
        <v>250000.0</v>
      </c>
      <c r="Z43" s="62">
        <v>250000.0</v>
      </c>
      <c r="AB43" s="62">
        <v>250000.0</v>
      </c>
      <c r="AD43" s="62">
        <v>250000.0</v>
      </c>
      <c r="AF43" s="62">
        <v>250000.0</v>
      </c>
    </row>
    <row r="44" ht="43.5" customHeight="1">
      <c r="A44" s="59" t="s">
        <v>103</v>
      </c>
      <c r="C44" s="29">
        <v>200000.0</v>
      </c>
      <c r="D44" s="30">
        <v>1.0</v>
      </c>
      <c r="E44" s="29">
        <f t="shared" si="33"/>
        <v>200000</v>
      </c>
      <c r="I44" s="62">
        <v>0.0</v>
      </c>
      <c r="K44" s="62">
        <v>0.0</v>
      </c>
      <c r="M44" s="62">
        <v>0.0</v>
      </c>
      <c r="O44" s="62">
        <v>0.0</v>
      </c>
      <c r="Q44" s="62">
        <v>0.0</v>
      </c>
      <c r="S44" s="62">
        <v>0.0</v>
      </c>
      <c r="U44" s="62">
        <v>0.0</v>
      </c>
      <c r="W44" s="64">
        <v>0.0</v>
      </c>
      <c r="Z44" s="64">
        <v>0.0</v>
      </c>
      <c r="AB44" s="64">
        <v>0.0</v>
      </c>
      <c r="AD44" s="64">
        <v>0.0</v>
      </c>
      <c r="AF44" s="65">
        <v>0.0</v>
      </c>
    </row>
    <row r="45" ht="28.5" customHeight="1">
      <c r="A45" s="59" t="s">
        <v>104</v>
      </c>
      <c r="B45" s="66" t="s">
        <v>57</v>
      </c>
      <c r="C45" s="29">
        <v>250000.0</v>
      </c>
      <c r="D45" s="30">
        <v>0.25</v>
      </c>
      <c r="E45" s="29">
        <f t="shared" si="33"/>
        <v>62500</v>
      </c>
      <c r="I45" s="62">
        <v>0.0</v>
      </c>
      <c r="K45" s="62">
        <v>0.0</v>
      </c>
      <c r="M45" s="62">
        <v>0.0</v>
      </c>
      <c r="O45" s="62">
        <v>0.0</v>
      </c>
      <c r="Q45" s="62">
        <v>0.0</v>
      </c>
      <c r="S45" s="62">
        <v>0.0</v>
      </c>
      <c r="U45" s="62">
        <v>0.0</v>
      </c>
      <c r="W45" s="64">
        <v>0.0</v>
      </c>
      <c r="Z45" s="64">
        <v>0.0</v>
      </c>
      <c r="AB45" s="64">
        <v>0.0</v>
      </c>
      <c r="AD45" s="64">
        <v>0.0</v>
      </c>
      <c r="AF45" s="65">
        <v>0.0</v>
      </c>
    </row>
    <row r="46" ht="30.75" customHeight="1">
      <c r="A46" s="59" t="s">
        <v>104</v>
      </c>
      <c r="B46" s="66" t="s">
        <v>58</v>
      </c>
      <c r="C46" s="29">
        <v>250000.0</v>
      </c>
      <c r="D46" s="30">
        <v>0.25</v>
      </c>
      <c r="E46" s="29">
        <f t="shared" si="33"/>
        <v>62500</v>
      </c>
      <c r="I46" s="62">
        <v>0.0</v>
      </c>
      <c r="K46" s="62">
        <v>0.0</v>
      </c>
      <c r="M46" s="62">
        <v>0.0</v>
      </c>
      <c r="O46" s="62">
        <v>0.0</v>
      </c>
      <c r="Q46" s="62">
        <v>0.0</v>
      </c>
      <c r="S46" s="62">
        <v>0.0</v>
      </c>
      <c r="U46" s="62">
        <v>0.0</v>
      </c>
      <c r="W46" s="64">
        <v>0.0</v>
      </c>
      <c r="Z46" s="64">
        <v>0.0</v>
      </c>
      <c r="AB46" s="64">
        <v>0.0</v>
      </c>
      <c r="AD46" s="64">
        <v>0.0</v>
      </c>
      <c r="AF46" s="65">
        <v>0.0</v>
      </c>
    </row>
    <row r="47" ht="25.5" customHeight="1">
      <c r="A47" s="59" t="s">
        <v>105</v>
      </c>
      <c r="B47" s="67" t="s">
        <v>106</v>
      </c>
      <c r="C47" s="29">
        <v>225000.0</v>
      </c>
      <c r="D47" s="30">
        <v>1.0</v>
      </c>
      <c r="E47" s="29">
        <f t="shared" si="33"/>
        <v>225000</v>
      </c>
      <c r="I47" s="62">
        <v>225000.0</v>
      </c>
      <c r="K47" s="62">
        <v>225000.0</v>
      </c>
      <c r="M47" s="62">
        <v>225000.0</v>
      </c>
      <c r="O47" s="62">
        <v>225000.0</v>
      </c>
      <c r="Q47" s="62">
        <v>225000.0</v>
      </c>
      <c r="S47" s="62">
        <v>225000.0</v>
      </c>
      <c r="U47" s="62">
        <v>225000.0</v>
      </c>
      <c r="W47" s="62">
        <v>225000.0</v>
      </c>
      <c r="Z47" s="62">
        <v>290000.0</v>
      </c>
      <c r="AB47" s="62">
        <v>290000.0</v>
      </c>
      <c r="AD47" s="62">
        <v>290000.0</v>
      </c>
      <c r="AF47" s="62">
        <v>290000.0</v>
      </c>
    </row>
    <row r="48" ht="24.0" customHeight="1">
      <c r="A48" s="59" t="s">
        <v>105</v>
      </c>
      <c r="B48" s="67" t="s">
        <v>107</v>
      </c>
      <c r="C48" s="29">
        <v>225000.0</v>
      </c>
      <c r="D48" s="30">
        <v>1.0</v>
      </c>
      <c r="E48" s="29">
        <f t="shared" si="33"/>
        <v>225000</v>
      </c>
      <c r="I48" s="62">
        <v>225000.0</v>
      </c>
      <c r="K48" s="62">
        <v>225000.0</v>
      </c>
      <c r="M48" s="62">
        <v>225000.0</v>
      </c>
      <c r="O48" s="62">
        <v>225000.0</v>
      </c>
      <c r="Q48" s="62">
        <v>225000.0</v>
      </c>
      <c r="S48" s="62">
        <v>225000.0</v>
      </c>
      <c r="U48" s="62">
        <v>225000.0</v>
      </c>
      <c r="W48" s="62">
        <v>225000.0</v>
      </c>
      <c r="Z48" s="62">
        <v>290000.0</v>
      </c>
      <c r="AB48" s="62">
        <v>290000.0</v>
      </c>
      <c r="AD48" s="62">
        <v>290000.0</v>
      </c>
      <c r="AF48" s="62">
        <v>290000.0</v>
      </c>
    </row>
    <row r="49" ht="24.0" customHeight="1">
      <c r="A49" s="59" t="s">
        <v>105</v>
      </c>
      <c r="B49" s="68" t="s">
        <v>108</v>
      </c>
      <c r="C49" s="29">
        <v>225000.0</v>
      </c>
      <c r="D49" s="30">
        <v>1.0</v>
      </c>
      <c r="E49" s="29">
        <f t="shared" si="33"/>
        <v>225000</v>
      </c>
      <c r="I49" s="62">
        <v>225000.0</v>
      </c>
      <c r="K49" s="62">
        <v>225000.0</v>
      </c>
      <c r="M49" s="62">
        <v>225000.0</v>
      </c>
      <c r="O49" s="62">
        <v>225000.0</v>
      </c>
      <c r="Q49" s="62">
        <v>225000.0</v>
      </c>
      <c r="S49" s="62">
        <v>225000.0</v>
      </c>
      <c r="U49" s="62">
        <v>225000.0</v>
      </c>
      <c r="W49" s="62">
        <v>225000.0</v>
      </c>
      <c r="Z49" s="62">
        <v>290000.0</v>
      </c>
      <c r="AB49" s="62">
        <v>290000.0</v>
      </c>
      <c r="AD49" s="62">
        <v>290000.0</v>
      </c>
      <c r="AF49" s="62">
        <v>290000.0</v>
      </c>
    </row>
    <row r="50" ht="13.5" customHeight="1">
      <c r="A50" s="59" t="s">
        <v>105</v>
      </c>
      <c r="I50" s="62">
        <v>0.0</v>
      </c>
      <c r="K50" s="62">
        <v>0.0</v>
      </c>
      <c r="M50" s="62">
        <v>0.0</v>
      </c>
      <c r="O50" s="62">
        <v>0.0</v>
      </c>
      <c r="Q50" s="62">
        <v>0.0</v>
      </c>
      <c r="S50" s="62">
        <v>0.0</v>
      </c>
      <c r="U50" s="62">
        <v>0.0</v>
      </c>
      <c r="W50" s="62">
        <v>0.0</v>
      </c>
      <c r="Z50" s="62">
        <v>290000.0</v>
      </c>
      <c r="AB50" s="62">
        <v>290000.0</v>
      </c>
      <c r="AD50" s="62">
        <v>290000.0</v>
      </c>
      <c r="AF50" s="62">
        <v>290000.0</v>
      </c>
    </row>
    <row r="51" ht="13.5" customHeight="1">
      <c r="A51" s="59" t="s">
        <v>109</v>
      </c>
      <c r="C51" s="29">
        <v>450000.0</v>
      </c>
      <c r="D51" s="30">
        <v>0.5</v>
      </c>
      <c r="E51" s="29">
        <f t="shared" ref="E51:E56" si="34">C51*D51</f>
        <v>225000</v>
      </c>
      <c r="I51" s="62">
        <v>225000.0</v>
      </c>
      <c r="K51" s="62">
        <v>225000.0</v>
      </c>
      <c r="M51" s="62">
        <v>225000.0</v>
      </c>
      <c r="O51" s="62">
        <v>225000.0</v>
      </c>
      <c r="Q51" s="62">
        <v>225000.0</v>
      </c>
      <c r="S51" s="62">
        <v>225000.0</v>
      </c>
      <c r="U51" s="62">
        <v>225000.0</v>
      </c>
      <c r="W51" s="62">
        <v>225000.0</v>
      </c>
      <c r="Z51" s="62">
        <v>225000.0</v>
      </c>
      <c r="AB51" s="62">
        <v>225000.0</v>
      </c>
      <c r="AD51" s="62">
        <v>225000.0</v>
      </c>
      <c r="AF51" s="62">
        <v>225000.0</v>
      </c>
    </row>
    <row r="52" ht="27.75" customHeight="1">
      <c r="A52" s="59" t="s">
        <v>110</v>
      </c>
      <c r="C52" s="29">
        <v>450000.0</v>
      </c>
      <c r="D52" s="30">
        <v>0.2</v>
      </c>
      <c r="E52" s="29">
        <f t="shared" si="34"/>
        <v>90000</v>
      </c>
      <c r="I52" s="62">
        <v>90000.0</v>
      </c>
      <c r="K52" s="62">
        <v>90000.0</v>
      </c>
      <c r="M52" s="62">
        <v>90000.0</v>
      </c>
      <c r="O52" s="62">
        <v>90000.0</v>
      </c>
      <c r="Q52" s="62">
        <v>90000.0</v>
      </c>
      <c r="S52" s="62">
        <v>90000.0</v>
      </c>
      <c r="U52" s="62">
        <v>90000.0</v>
      </c>
      <c r="W52" s="62">
        <v>90000.0</v>
      </c>
      <c r="Z52" s="62">
        <v>90000.0</v>
      </c>
      <c r="AB52" s="62">
        <v>90000.0</v>
      </c>
      <c r="AD52" s="62">
        <v>90000.0</v>
      </c>
      <c r="AF52" s="62">
        <v>90000.0</v>
      </c>
    </row>
    <row r="53" ht="13.5" customHeight="1">
      <c r="A53" s="59" t="s">
        <v>111</v>
      </c>
      <c r="C53" s="29">
        <v>150000.0</v>
      </c>
      <c r="D53" s="30">
        <v>0.2</v>
      </c>
      <c r="E53" s="29">
        <f t="shared" si="34"/>
        <v>30000</v>
      </c>
      <c r="I53" s="62">
        <v>30000.0</v>
      </c>
      <c r="K53" s="62">
        <v>30000.0</v>
      </c>
      <c r="M53" s="62">
        <v>30000.0</v>
      </c>
      <c r="O53" s="62">
        <v>30000.0</v>
      </c>
      <c r="Q53" s="62">
        <v>30000.0</v>
      </c>
      <c r="S53" s="62">
        <v>30000.0</v>
      </c>
      <c r="U53" s="62">
        <v>30000.0</v>
      </c>
      <c r="W53" s="62">
        <v>30000.0</v>
      </c>
      <c r="Z53" s="62">
        <v>30000.0</v>
      </c>
      <c r="AB53" s="62">
        <v>30000.0</v>
      </c>
      <c r="AD53" s="62">
        <v>30000.0</v>
      </c>
      <c r="AF53" s="62">
        <v>30000.0</v>
      </c>
    </row>
    <row r="54" ht="13.5" customHeight="1">
      <c r="A54" s="59" t="s">
        <v>112</v>
      </c>
      <c r="C54" s="29">
        <v>200000.0</v>
      </c>
      <c r="D54" s="30">
        <v>0.2</v>
      </c>
      <c r="E54" s="29">
        <f t="shared" si="34"/>
        <v>40000</v>
      </c>
      <c r="I54" s="62">
        <v>40000.0</v>
      </c>
      <c r="K54" s="62">
        <v>40000.0</v>
      </c>
      <c r="M54" s="62">
        <v>40000.0</v>
      </c>
      <c r="O54" s="62">
        <v>40000.0</v>
      </c>
      <c r="Q54" s="62">
        <v>40000.0</v>
      </c>
      <c r="S54" s="62">
        <v>40000.0</v>
      </c>
      <c r="U54" s="62">
        <v>40000.0</v>
      </c>
      <c r="W54" s="62">
        <v>40000.0</v>
      </c>
      <c r="Z54" s="62">
        <v>40000.0</v>
      </c>
      <c r="AB54" s="62">
        <v>40000.0</v>
      </c>
      <c r="AD54" s="62">
        <v>40000.0</v>
      </c>
      <c r="AF54" s="62">
        <v>40000.0</v>
      </c>
    </row>
    <row r="55" ht="23.25" customHeight="1">
      <c r="A55" s="59" t="s">
        <v>113</v>
      </c>
      <c r="B55" s="10" t="s">
        <v>37</v>
      </c>
      <c r="C55" s="29">
        <v>250000.0</v>
      </c>
      <c r="D55" s="30">
        <v>0.2</v>
      </c>
      <c r="E55" s="29">
        <f t="shared" si="34"/>
        <v>50000</v>
      </c>
      <c r="I55" s="62">
        <v>50000.0</v>
      </c>
      <c r="K55" s="62">
        <v>50000.0</v>
      </c>
      <c r="M55" s="62">
        <v>50000.0</v>
      </c>
      <c r="O55" s="62">
        <v>50000.0</v>
      </c>
      <c r="Q55" s="62">
        <v>50000.0</v>
      </c>
      <c r="S55" s="62">
        <v>50000.0</v>
      </c>
      <c r="U55" s="62">
        <v>50000.0</v>
      </c>
      <c r="W55" s="62">
        <v>50000.0</v>
      </c>
      <c r="Z55" s="62">
        <v>50000.0</v>
      </c>
      <c r="AB55" s="62">
        <v>50000.0</v>
      </c>
      <c r="AD55" s="62">
        <v>50000.0</v>
      </c>
      <c r="AF55" s="62">
        <v>50000.0</v>
      </c>
    </row>
    <row r="56" ht="13.5" customHeight="1">
      <c r="A56" s="69" t="s">
        <v>114</v>
      </c>
      <c r="B56" s="70" t="s">
        <v>66</v>
      </c>
      <c r="C56" s="29">
        <v>200000.0</v>
      </c>
      <c r="D56" s="30">
        <v>1.2</v>
      </c>
      <c r="E56" s="29">
        <f t="shared" si="34"/>
        <v>240000</v>
      </c>
      <c r="I56" s="62">
        <v>240000.0</v>
      </c>
      <c r="K56" s="62">
        <v>240000.0</v>
      </c>
      <c r="M56" s="62">
        <v>240000.0</v>
      </c>
      <c r="O56" s="62">
        <v>240000.0</v>
      </c>
      <c r="Q56" s="62">
        <v>240000.0</v>
      </c>
      <c r="S56" s="62">
        <v>240000.0</v>
      </c>
      <c r="U56" s="62">
        <v>240000.0</v>
      </c>
      <c r="W56" s="62">
        <v>240000.0</v>
      </c>
      <c r="Z56" s="62">
        <v>240000.0</v>
      </c>
      <c r="AB56" s="62">
        <v>240000.0</v>
      </c>
      <c r="AD56" s="62">
        <v>240000.0</v>
      </c>
      <c r="AF56" s="62">
        <v>240000.0</v>
      </c>
    </row>
    <row r="57" ht="13.5" customHeight="1">
      <c r="A57" s="55" t="s">
        <v>115</v>
      </c>
      <c r="C57" s="53">
        <f t="shared" ref="C57:W57" si="35">SUM(C37:C56)</f>
        <v>5575000</v>
      </c>
      <c r="D57" s="53">
        <f t="shared" si="35"/>
        <v>13.5</v>
      </c>
      <c r="E57" s="53">
        <f t="shared" si="35"/>
        <v>4025000</v>
      </c>
      <c r="F57" s="53">
        <f t="shared" si="35"/>
        <v>0</v>
      </c>
      <c r="G57" s="53">
        <f t="shared" si="35"/>
        <v>0</v>
      </c>
      <c r="H57" s="53">
        <f t="shared" si="35"/>
        <v>0</v>
      </c>
      <c r="I57" s="53">
        <f t="shared" si="35"/>
        <v>3400000</v>
      </c>
      <c r="J57" s="53">
        <f t="shared" si="35"/>
        <v>0</v>
      </c>
      <c r="K57" s="53">
        <f t="shared" si="35"/>
        <v>3400000</v>
      </c>
      <c r="L57" s="53">
        <f t="shared" si="35"/>
        <v>0</v>
      </c>
      <c r="M57" s="53">
        <f t="shared" si="35"/>
        <v>3400000</v>
      </c>
      <c r="N57" s="53">
        <f t="shared" si="35"/>
        <v>0</v>
      </c>
      <c r="O57" s="53">
        <f t="shared" si="35"/>
        <v>3400000</v>
      </c>
      <c r="P57" s="53">
        <f t="shared" si="35"/>
        <v>0</v>
      </c>
      <c r="Q57" s="53">
        <f t="shared" si="35"/>
        <v>3400000</v>
      </c>
      <c r="R57" s="53">
        <f t="shared" si="35"/>
        <v>0</v>
      </c>
      <c r="S57" s="53">
        <f t="shared" si="35"/>
        <v>3400000</v>
      </c>
      <c r="T57" s="53">
        <f t="shared" si="35"/>
        <v>0</v>
      </c>
      <c r="U57" s="53">
        <f t="shared" si="35"/>
        <v>3400000</v>
      </c>
      <c r="V57" s="53">
        <f t="shared" si="35"/>
        <v>0</v>
      </c>
      <c r="W57" s="53">
        <f t="shared" si="35"/>
        <v>3400000</v>
      </c>
      <c r="Y57" s="53">
        <f t="shared" ref="Y57:AF57" si="36">SUM(Y37:Y56)</f>
        <v>0</v>
      </c>
      <c r="Z57" s="53">
        <f t="shared" si="36"/>
        <v>4185000</v>
      </c>
      <c r="AA57" s="53">
        <f t="shared" si="36"/>
        <v>0</v>
      </c>
      <c r="AB57" s="53">
        <f t="shared" si="36"/>
        <v>4185000</v>
      </c>
      <c r="AC57" s="53">
        <f t="shared" si="36"/>
        <v>0</v>
      </c>
      <c r="AD57" s="53">
        <f t="shared" si="36"/>
        <v>4185000</v>
      </c>
      <c r="AE57" s="53">
        <f t="shared" si="36"/>
        <v>0</v>
      </c>
      <c r="AF57" s="53">
        <f t="shared" si="36"/>
        <v>4185000</v>
      </c>
    </row>
    <row r="58" ht="13.5" customHeight="1">
      <c r="A58" s="71" t="s">
        <v>116</v>
      </c>
      <c r="I58" s="72">
        <f>I20+I26+I36+I57</f>
        <v>6707900.14</v>
      </c>
      <c r="J58" s="73">
        <v>0.0</v>
      </c>
      <c r="K58" s="72">
        <f>K20+K26+K36+K57</f>
        <v>7145300.14</v>
      </c>
      <c r="L58" s="73">
        <v>0.0</v>
      </c>
      <c r="M58" s="72">
        <f>M20+M26+M36+M57</f>
        <v>7172300.14</v>
      </c>
      <c r="N58" s="73">
        <v>0.0</v>
      </c>
      <c r="O58" s="72">
        <f>O20+O26+O36+O57</f>
        <v>7145300.14</v>
      </c>
      <c r="P58" s="73">
        <v>0.0</v>
      </c>
      <c r="Q58" s="72">
        <f>Q20+Q26+Q36+Q57</f>
        <v>7453100.14</v>
      </c>
      <c r="R58" s="73">
        <v>0.0</v>
      </c>
      <c r="S58" s="72">
        <f t="shared" ref="S58:W58" si="37">S20+S26+S36+S57</f>
        <v>7145300.14</v>
      </c>
      <c r="T58" s="72">
        <f t="shared" si="37"/>
        <v>0</v>
      </c>
      <c r="U58" s="72">
        <f t="shared" si="37"/>
        <v>5314700.14</v>
      </c>
      <c r="V58" s="72">
        <f t="shared" si="37"/>
        <v>0</v>
      </c>
      <c r="W58" s="72">
        <f t="shared" si="37"/>
        <v>5314700.14</v>
      </c>
      <c r="X58" s="73">
        <v>0.0</v>
      </c>
      <c r="Y58" s="73">
        <v>0.0</v>
      </c>
      <c r="Z58" s="72">
        <f>Z20+Z26+Z36+Z57</f>
        <v>15045700.14</v>
      </c>
      <c r="AA58" s="73">
        <v>0.0</v>
      </c>
      <c r="AB58" s="72">
        <f>AB20+AB26+AB36+AB57</f>
        <v>15045700.14</v>
      </c>
      <c r="AC58" s="73">
        <v>0.0</v>
      </c>
      <c r="AD58" s="72">
        <f>AD20+AD26+AD36+AD57</f>
        <v>15045700.14</v>
      </c>
      <c r="AE58" s="73">
        <v>0.0</v>
      </c>
      <c r="AF58" s="72">
        <f>AF20+AF26+AF36+AF57</f>
        <v>15045700.14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V1:W1"/>
    <mergeCell ref="Y1:Z1"/>
    <mergeCell ref="AA1:AB1"/>
    <mergeCell ref="AC1:AD1"/>
    <mergeCell ref="AE1:AF1"/>
    <mergeCell ref="H1:I1"/>
    <mergeCell ref="J1:K1"/>
    <mergeCell ref="L1:M1"/>
    <mergeCell ref="N1:O1"/>
    <mergeCell ref="P1:Q1"/>
    <mergeCell ref="R1:S1"/>
    <mergeCell ref="T1:U1"/>
  </mergeCells>
  <printOptions/>
  <pageMargins bottom="0.7519685039370079" footer="0.0" header="0.0" left="0.7007874015748032" right="0.7007874015748032" top="0.7519685039370079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63"/>
    <col customWidth="1" min="2" max="2" width="36.75"/>
    <col customWidth="1" min="3" max="3" width="19.38"/>
    <col customWidth="1" min="4" max="4" width="8.38"/>
    <col customWidth="1" min="5" max="5" width="7.13"/>
    <col customWidth="1" min="6" max="7" width="8.25"/>
    <col customWidth="1" min="8" max="8" width="7.0"/>
    <col customWidth="1" min="9" max="9" width="6.25"/>
    <col customWidth="1" min="10" max="10" width="7.88"/>
    <col customWidth="1" min="11" max="11" width="11.63"/>
    <col customWidth="1" min="12" max="12" width="12.25"/>
    <col customWidth="1" min="13" max="13" width="10.25"/>
    <col customWidth="1" min="14" max="14" width="12.38"/>
    <col customWidth="1" min="15" max="15" width="18.88"/>
    <col customWidth="1" min="16" max="16" width="8.25"/>
    <col customWidth="1" min="17" max="17" width="10.38"/>
    <col customWidth="1" min="18" max="18" width="11.25"/>
    <col customWidth="1" min="19" max="19" width="11.75"/>
    <col customWidth="1" min="20" max="21" width="8.75"/>
    <col customWidth="1" min="22" max="22" width="13.75"/>
    <col customWidth="1" min="23" max="23" width="10.88"/>
    <col customWidth="1" min="24" max="24" width="8.13"/>
    <col customWidth="1" min="25" max="25" width="10.25"/>
    <col customWidth="1" min="26" max="26" width="10.38"/>
    <col customWidth="1" min="27" max="27" width="10.5"/>
    <col customWidth="1" min="28" max="28" width="9.5"/>
    <col customWidth="1" min="29" max="36" width="7.63"/>
  </cols>
  <sheetData>
    <row r="1" ht="12.75" customHeight="1">
      <c r="A1" s="74"/>
      <c r="G1" s="75"/>
      <c r="K1" s="76"/>
      <c r="L1" s="77"/>
      <c r="M1" s="77"/>
      <c r="N1" s="77"/>
      <c r="O1" s="77"/>
      <c r="P1" s="77"/>
      <c r="Q1" s="77"/>
      <c r="R1" s="76" t="s">
        <v>117</v>
      </c>
      <c r="S1" s="76"/>
      <c r="T1" s="76"/>
      <c r="U1" s="78" t="s">
        <v>118</v>
      </c>
      <c r="V1" s="79"/>
      <c r="W1" s="79"/>
      <c r="X1" s="80"/>
    </row>
    <row r="2" ht="79.5" customHeight="1">
      <c r="A2" s="74" t="s">
        <v>119</v>
      </c>
      <c r="B2" s="81" t="s">
        <v>0</v>
      </c>
      <c r="C2" s="82" t="s">
        <v>1</v>
      </c>
      <c r="D2" s="83" t="s">
        <v>120</v>
      </c>
      <c r="E2" s="84" t="s">
        <v>121</v>
      </c>
      <c r="F2" s="82" t="s">
        <v>122</v>
      </c>
      <c r="G2" s="82" t="s">
        <v>123</v>
      </c>
      <c r="H2" s="85" t="s">
        <v>124</v>
      </c>
      <c r="I2" s="86" t="s">
        <v>125</v>
      </c>
      <c r="J2" s="86" t="s">
        <v>126</v>
      </c>
      <c r="K2" s="87" t="s">
        <v>127</v>
      </c>
      <c r="L2" s="88"/>
      <c r="M2" s="89" t="s">
        <v>128</v>
      </c>
      <c r="N2" s="89" t="s">
        <v>129</v>
      </c>
      <c r="O2" s="89" t="s">
        <v>130</v>
      </c>
      <c r="P2" s="89"/>
      <c r="Q2" s="90" t="s">
        <v>131</v>
      </c>
      <c r="R2" s="91" t="s">
        <v>132</v>
      </c>
      <c r="S2" s="92" t="s">
        <v>131</v>
      </c>
      <c r="T2" s="92" t="s">
        <v>2</v>
      </c>
      <c r="U2" s="93" t="s">
        <v>132</v>
      </c>
      <c r="V2" s="94" t="s">
        <v>131</v>
      </c>
      <c r="W2" s="94" t="s">
        <v>133</v>
      </c>
      <c r="X2" s="95" t="s">
        <v>134</v>
      </c>
      <c r="Y2" s="96"/>
      <c r="Z2" s="34"/>
      <c r="AA2" s="97"/>
      <c r="AB2" s="34"/>
      <c r="AC2" s="98" t="s">
        <v>5</v>
      </c>
      <c r="AD2" s="99"/>
      <c r="AE2" s="98" t="s">
        <v>6</v>
      </c>
      <c r="AF2" s="99"/>
      <c r="AG2" s="98" t="s">
        <v>7</v>
      </c>
      <c r="AH2" s="99"/>
      <c r="AI2" s="98" t="s">
        <v>8</v>
      </c>
      <c r="AJ2" s="99"/>
    </row>
    <row r="3" ht="12.75" customHeight="1">
      <c r="A3" s="100"/>
      <c r="C3" s="49"/>
      <c r="D3" s="49"/>
      <c r="E3" s="49"/>
      <c r="F3" s="101"/>
      <c r="G3" s="49"/>
      <c r="H3" s="102"/>
      <c r="I3" s="103"/>
      <c r="J3" s="103"/>
      <c r="K3" s="104"/>
      <c r="L3" s="88"/>
      <c r="M3" s="88"/>
      <c r="N3" s="88"/>
      <c r="O3" s="88"/>
      <c r="P3" s="88"/>
      <c r="Q3" s="105">
        <f t="shared" ref="Q3:Q6" si="1">O3*X3</f>
        <v>0</v>
      </c>
      <c r="R3" s="106"/>
      <c r="S3" s="107"/>
      <c r="T3" s="107"/>
      <c r="U3" s="108"/>
      <c r="V3" s="109"/>
      <c r="W3" s="109"/>
      <c r="X3" s="109"/>
      <c r="AC3" s="110" t="s">
        <v>78</v>
      </c>
      <c r="AD3" s="111" t="s">
        <v>79</v>
      </c>
      <c r="AE3" s="110" t="s">
        <v>78</v>
      </c>
      <c r="AF3" s="111" t="s">
        <v>79</v>
      </c>
      <c r="AG3" s="110" t="s">
        <v>78</v>
      </c>
      <c r="AH3" s="111" t="s">
        <v>79</v>
      </c>
      <c r="AI3" s="110" t="s">
        <v>78</v>
      </c>
      <c r="AJ3" s="111" t="s">
        <v>79</v>
      </c>
    </row>
    <row r="4" ht="22.5" customHeight="1">
      <c r="A4" s="60" t="s">
        <v>135</v>
      </c>
      <c r="B4" s="112" t="s">
        <v>15</v>
      </c>
      <c r="C4" s="112"/>
      <c r="D4" s="113">
        <v>5.0</v>
      </c>
      <c r="E4" s="14"/>
      <c r="F4" s="114">
        <v>96.0</v>
      </c>
      <c r="G4" s="115"/>
      <c r="H4" s="116">
        <f t="shared" ref="H4:H21" si="2">F4*D4</f>
        <v>480</v>
      </c>
      <c r="I4" s="117">
        <f t="shared" ref="I4:I37" si="3">H4/720</f>
        <v>0.6666666667</v>
      </c>
      <c r="J4" s="117">
        <f t="shared" ref="J4:J20" si="4">I4</f>
        <v>0.6666666667</v>
      </c>
      <c r="K4" s="118"/>
      <c r="L4" s="88"/>
      <c r="M4" s="105"/>
      <c r="N4" s="105"/>
      <c r="O4" s="105"/>
      <c r="P4" s="105"/>
      <c r="Q4" s="105">
        <f t="shared" si="1"/>
        <v>0</v>
      </c>
      <c r="R4" s="119"/>
      <c r="S4" s="120">
        <f t="shared" ref="S4:S20" si="5">I4*T4</f>
        <v>166666.6667</v>
      </c>
      <c r="T4" s="121">
        <v>250000.0</v>
      </c>
      <c r="U4" s="122"/>
      <c r="V4" s="123">
        <f t="shared" ref="V4:V19" si="6">(H4/10)*X4</f>
        <v>129600</v>
      </c>
      <c r="W4" s="123">
        <f t="shared" ref="W4:W20" si="7">H4*X4</f>
        <v>1296000</v>
      </c>
      <c r="X4" s="124">
        <v>2700.0</v>
      </c>
      <c r="Y4" s="125">
        <v>96.0</v>
      </c>
      <c r="Z4" s="126">
        <f t="shared" ref="Z4:Z19" si="8">F4-Y4</f>
        <v>0</v>
      </c>
    </row>
    <row r="5" ht="21.75" customHeight="1">
      <c r="A5" s="60" t="s">
        <v>136</v>
      </c>
      <c r="B5" s="127" t="s">
        <v>25</v>
      </c>
      <c r="C5" s="127"/>
      <c r="D5" s="128">
        <v>5.0</v>
      </c>
      <c r="E5" s="129"/>
      <c r="F5" s="130">
        <v>96.0</v>
      </c>
      <c r="G5" s="115"/>
      <c r="H5" s="131">
        <f t="shared" si="2"/>
        <v>480</v>
      </c>
      <c r="I5" s="132">
        <f t="shared" si="3"/>
        <v>0.6666666667</v>
      </c>
      <c r="J5" s="117">
        <f t="shared" si="4"/>
        <v>0.6666666667</v>
      </c>
      <c r="K5" s="118"/>
      <c r="L5" s="88"/>
      <c r="M5" s="105"/>
      <c r="N5" s="105"/>
      <c r="O5" s="105"/>
      <c r="P5" s="105"/>
      <c r="Q5" s="105">
        <f t="shared" si="1"/>
        <v>0</v>
      </c>
      <c r="R5" s="119"/>
      <c r="S5" s="120">
        <f t="shared" si="5"/>
        <v>166666.6667</v>
      </c>
      <c r="T5" s="121">
        <v>250000.0</v>
      </c>
      <c r="U5" s="122"/>
      <c r="V5" s="123">
        <f t="shared" si="6"/>
        <v>129600</v>
      </c>
      <c r="W5" s="123">
        <f t="shared" si="7"/>
        <v>1296000</v>
      </c>
      <c r="X5" s="124">
        <v>2700.0</v>
      </c>
      <c r="Y5" s="125">
        <v>96.0</v>
      </c>
      <c r="Z5" s="126">
        <f t="shared" si="8"/>
        <v>0</v>
      </c>
    </row>
    <row r="6" ht="20.25" customHeight="1">
      <c r="A6" s="60" t="s">
        <v>137</v>
      </c>
      <c r="B6" s="133" t="s">
        <v>22</v>
      </c>
      <c r="C6" s="134"/>
      <c r="D6" s="128">
        <v>5.0</v>
      </c>
      <c r="E6" s="129"/>
      <c r="F6" s="130">
        <v>96.0</v>
      </c>
      <c r="G6" s="115"/>
      <c r="H6" s="131">
        <f t="shared" si="2"/>
        <v>480</v>
      </c>
      <c r="I6" s="132">
        <f t="shared" si="3"/>
        <v>0.6666666667</v>
      </c>
      <c r="J6" s="117">
        <f t="shared" si="4"/>
        <v>0.6666666667</v>
      </c>
      <c r="K6" s="118"/>
      <c r="L6" s="88"/>
      <c r="M6" s="105"/>
      <c r="N6" s="105"/>
      <c r="O6" s="105"/>
      <c r="P6" s="105"/>
      <c r="Q6" s="105">
        <f t="shared" si="1"/>
        <v>0</v>
      </c>
      <c r="R6" s="119"/>
      <c r="S6" s="120">
        <f t="shared" si="5"/>
        <v>166666.6667</v>
      </c>
      <c r="T6" s="121">
        <v>250000.0</v>
      </c>
      <c r="U6" s="122"/>
      <c r="V6" s="123">
        <f t="shared" si="6"/>
        <v>129600</v>
      </c>
      <c r="W6" s="123">
        <f t="shared" si="7"/>
        <v>1296000</v>
      </c>
      <c r="X6" s="124">
        <v>2700.0</v>
      </c>
      <c r="Y6" s="125">
        <v>96.0</v>
      </c>
      <c r="Z6" s="126">
        <f t="shared" si="8"/>
        <v>0</v>
      </c>
    </row>
    <row r="7" ht="20.25" customHeight="1">
      <c r="A7" s="60" t="s">
        <v>138</v>
      </c>
      <c r="B7" s="135" t="s">
        <v>27</v>
      </c>
      <c r="C7" s="112"/>
      <c r="D7" s="113">
        <v>5.0</v>
      </c>
      <c r="E7" s="14"/>
      <c r="F7" s="114">
        <v>96.0</v>
      </c>
      <c r="G7" s="115"/>
      <c r="H7" s="116">
        <f t="shared" si="2"/>
        <v>480</v>
      </c>
      <c r="I7" s="117">
        <f t="shared" si="3"/>
        <v>0.6666666667</v>
      </c>
      <c r="J7" s="117">
        <f t="shared" si="4"/>
        <v>0.6666666667</v>
      </c>
      <c r="K7" s="118"/>
      <c r="L7" s="88"/>
      <c r="M7" s="105"/>
      <c r="N7" s="105"/>
      <c r="O7" s="105"/>
      <c r="P7" s="105"/>
      <c r="Q7" s="136"/>
      <c r="R7" s="120"/>
      <c r="S7" s="120">
        <f t="shared" si="5"/>
        <v>166666.6667</v>
      </c>
      <c r="T7" s="121">
        <v>250000.0</v>
      </c>
      <c r="U7" s="122"/>
      <c r="V7" s="123">
        <f t="shared" si="6"/>
        <v>129600</v>
      </c>
      <c r="W7" s="123">
        <f t="shared" si="7"/>
        <v>1296000</v>
      </c>
      <c r="X7" s="124">
        <v>2700.0</v>
      </c>
      <c r="Y7" s="125">
        <v>96.0</v>
      </c>
      <c r="Z7" s="126">
        <f t="shared" si="8"/>
        <v>0</v>
      </c>
    </row>
    <row r="8" ht="21.0" customHeight="1">
      <c r="A8" s="60" t="s">
        <v>139</v>
      </c>
      <c r="B8" s="137" t="s">
        <v>80</v>
      </c>
      <c r="C8" s="138"/>
      <c r="D8" s="139">
        <v>5.0</v>
      </c>
      <c r="E8" s="140"/>
      <c r="F8" s="141">
        <v>72.0</v>
      </c>
      <c r="G8" s="115"/>
      <c r="H8" s="142">
        <f t="shared" si="2"/>
        <v>360</v>
      </c>
      <c r="I8" s="143">
        <f t="shared" si="3"/>
        <v>0.5</v>
      </c>
      <c r="J8" s="117">
        <f t="shared" si="4"/>
        <v>0.5</v>
      </c>
      <c r="K8" s="118"/>
      <c r="L8" s="88"/>
      <c r="M8" s="105"/>
      <c r="N8" s="105"/>
      <c r="O8" s="105"/>
      <c r="P8" s="105"/>
      <c r="Q8" s="136"/>
      <c r="R8" s="120"/>
      <c r="S8" s="120">
        <f t="shared" si="5"/>
        <v>125000</v>
      </c>
      <c r="T8" s="121">
        <v>250000.0</v>
      </c>
      <c r="U8" s="122"/>
      <c r="V8" s="123">
        <f t="shared" si="6"/>
        <v>97200</v>
      </c>
      <c r="W8" s="123">
        <f t="shared" si="7"/>
        <v>972000</v>
      </c>
      <c r="X8" s="124">
        <v>2700.0</v>
      </c>
      <c r="Y8" s="125">
        <v>72.0</v>
      </c>
      <c r="Z8" s="126">
        <f t="shared" si="8"/>
        <v>0</v>
      </c>
    </row>
    <row r="9" ht="20.25" customHeight="1">
      <c r="A9" s="60" t="s">
        <v>140</v>
      </c>
      <c r="B9" s="144" t="s">
        <v>30</v>
      </c>
      <c r="C9" s="145"/>
      <c r="D9" s="146">
        <v>5.0</v>
      </c>
      <c r="E9" s="147"/>
      <c r="F9" s="148">
        <v>120.0</v>
      </c>
      <c r="G9" s="115"/>
      <c r="H9" s="149">
        <f t="shared" si="2"/>
        <v>600</v>
      </c>
      <c r="I9" s="150">
        <f t="shared" si="3"/>
        <v>0.8333333333</v>
      </c>
      <c r="J9" s="117">
        <f t="shared" si="4"/>
        <v>0.8333333333</v>
      </c>
      <c r="K9" s="118"/>
      <c r="L9" s="88"/>
      <c r="M9" s="105"/>
      <c r="N9" s="105"/>
      <c r="O9" s="105"/>
      <c r="P9" s="105"/>
      <c r="Q9" s="136"/>
      <c r="R9" s="120"/>
      <c r="S9" s="120">
        <f t="shared" si="5"/>
        <v>208333.3333</v>
      </c>
      <c r="T9" s="121">
        <v>250000.0</v>
      </c>
      <c r="U9" s="122"/>
      <c r="V9" s="123">
        <f t="shared" si="6"/>
        <v>162000</v>
      </c>
      <c r="W9" s="123">
        <f t="shared" si="7"/>
        <v>1620000</v>
      </c>
      <c r="X9" s="124">
        <v>2700.0</v>
      </c>
      <c r="Y9" s="125">
        <v>120.0</v>
      </c>
      <c r="Z9" s="126">
        <f t="shared" si="8"/>
        <v>0</v>
      </c>
    </row>
    <row r="10" ht="21.75" customHeight="1">
      <c r="A10" s="60" t="s">
        <v>141</v>
      </c>
      <c r="B10" s="151" t="s">
        <v>46</v>
      </c>
      <c r="C10" s="152"/>
      <c r="D10" s="153">
        <v>5.0</v>
      </c>
      <c r="E10" s="154"/>
      <c r="F10" s="155">
        <v>72.0</v>
      </c>
      <c r="G10" s="115"/>
      <c r="H10" s="156">
        <f t="shared" si="2"/>
        <v>360</v>
      </c>
      <c r="I10" s="157">
        <f t="shared" si="3"/>
        <v>0.5</v>
      </c>
      <c r="J10" s="117">
        <f t="shared" si="4"/>
        <v>0.5</v>
      </c>
      <c r="K10" s="118"/>
      <c r="L10" s="88"/>
      <c r="M10" s="105"/>
      <c r="N10" s="105"/>
      <c r="O10" s="105"/>
      <c r="P10" s="105"/>
      <c r="Q10" s="136"/>
      <c r="R10" s="120"/>
      <c r="S10" s="120">
        <f t="shared" si="5"/>
        <v>125000</v>
      </c>
      <c r="T10" s="121">
        <v>250000.0</v>
      </c>
      <c r="U10" s="122"/>
      <c r="V10" s="123">
        <f t="shared" si="6"/>
        <v>97200</v>
      </c>
      <c r="W10" s="123">
        <f t="shared" si="7"/>
        <v>972000</v>
      </c>
      <c r="X10" s="124">
        <v>2700.0</v>
      </c>
      <c r="Y10" s="125">
        <v>48.0</v>
      </c>
      <c r="Z10" s="126">
        <f t="shared" si="8"/>
        <v>24</v>
      </c>
    </row>
    <row r="11" ht="24.0" customHeight="1">
      <c r="A11" s="60" t="s">
        <v>142</v>
      </c>
      <c r="B11" s="135" t="s">
        <v>36</v>
      </c>
      <c r="C11" s="112"/>
      <c r="D11" s="113">
        <v>2.5</v>
      </c>
      <c r="E11" s="14"/>
      <c r="F11" s="114">
        <v>96.0</v>
      </c>
      <c r="G11" s="115"/>
      <c r="H11" s="116">
        <f t="shared" si="2"/>
        <v>240</v>
      </c>
      <c r="I11" s="117">
        <f t="shared" si="3"/>
        <v>0.3333333333</v>
      </c>
      <c r="J11" s="117">
        <f t="shared" si="4"/>
        <v>0.3333333333</v>
      </c>
      <c r="K11" s="118"/>
      <c r="L11" s="88"/>
      <c r="M11" s="105"/>
      <c r="N11" s="105"/>
      <c r="O11" s="105"/>
      <c r="P11" s="105"/>
      <c r="Q11" s="136"/>
      <c r="R11" s="120"/>
      <c r="S11" s="120">
        <f t="shared" si="5"/>
        <v>83333.33333</v>
      </c>
      <c r="T11" s="121">
        <v>250000.0</v>
      </c>
      <c r="U11" s="122"/>
      <c r="V11" s="123">
        <f t="shared" si="6"/>
        <v>96000</v>
      </c>
      <c r="W11" s="123">
        <f t="shared" si="7"/>
        <v>960000</v>
      </c>
      <c r="X11" s="124">
        <v>4000.0</v>
      </c>
      <c r="Y11" s="125">
        <v>96.0</v>
      </c>
      <c r="Z11" s="126">
        <f t="shared" si="8"/>
        <v>0</v>
      </c>
    </row>
    <row r="12" ht="21.75" customHeight="1">
      <c r="A12" s="60" t="s">
        <v>143</v>
      </c>
      <c r="B12" s="135" t="s">
        <v>81</v>
      </c>
      <c r="C12" s="112"/>
      <c r="D12" s="113">
        <v>2.0</v>
      </c>
      <c r="E12" s="14"/>
      <c r="F12" s="114">
        <v>120.0</v>
      </c>
      <c r="G12" s="115"/>
      <c r="H12" s="116">
        <f t="shared" si="2"/>
        <v>240</v>
      </c>
      <c r="I12" s="117">
        <f t="shared" si="3"/>
        <v>0.3333333333</v>
      </c>
      <c r="J12" s="117">
        <f t="shared" si="4"/>
        <v>0.3333333333</v>
      </c>
      <c r="K12" s="118"/>
      <c r="L12" s="88"/>
      <c r="M12" s="105"/>
      <c r="N12" s="105"/>
      <c r="O12" s="105"/>
      <c r="P12" s="105"/>
      <c r="Q12" s="136"/>
      <c r="R12" s="120"/>
      <c r="S12" s="120">
        <f t="shared" si="5"/>
        <v>83333.33333</v>
      </c>
      <c r="T12" s="121">
        <v>250000.0</v>
      </c>
      <c r="U12" s="122"/>
      <c r="V12" s="123">
        <f t="shared" si="6"/>
        <v>96000</v>
      </c>
      <c r="W12" s="123">
        <f t="shared" si="7"/>
        <v>960000</v>
      </c>
      <c r="X12" s="124">
        <v>4000.0</v>
      </c>
      <c r="Y12" s="125">
        <v>120.0</v>
      </c>
      <c r="Z12" s="126">
        <f t="shared" si="8"/>
        <v>0</v>
      </c>
    </row>
    <row r="13" ht="21.75" customHeight="1">
      <c r="A13" s="60" t="s">
        <v>144</v>
      </c>
      <c r="B13" s="158" t="s">
        <v>34</v>
      </c>
      <c r="C13" s="159"/>
      <c r="D13" s="160">
        <v>5.0</v>
      </c>
      <c r="E13" s="161"/>
      <c r="F13" s="114">
        <v>96.0</v>
      </c>
      <c r="G13" s="115"/>
      <c r="H13" s="116">
        <f t="shared" si="2"/>
        <v>480</v>
      </c>
      <c r="I13" s="117">
        <f t="shared" si="3"/>
        <v>0.6666666667</v>
      </c>
      <c r="J13" s="117">
        <f t="shared" si="4"/>
        <v>0.6666666667</v>
      </c>
      <c r="K13" s="118"/>
      <c r="L13" s="88"/>
      <c r="M13" s="105"/>
      <c r="N13" s="105"/>
      <c r="O13" s="105"/>
      <c r="P13" s="105"/>
      <c r="Q13" s="136"/>
      <c r="R13" s="120"/>
      <c r="S13" s="120">
        <f t="shared" si="5"/>
        <v>166666.6667</v>
      </c>
      <c r="T13" s="121">
        <v>250000.0</v>
      </c>
      <c r="U13" s="122"/>
      <c r="V13" s="123">
        <f t="shared" si="6"/>
        <v>129600</v>
      </c>
      <c r="W13" s="123">
        <f t="shared" si="7"/>
        <v>1296000</v>
      </c>
      <c r="X13" s="124">
        <v>2700.0</v>
      </c>
      <c r="Y13" s="125">
        <v>96.0</v>
      </c>
      <c r="Z13" s="126">
        <f t="shared" si="8"/>
        <v>0</v>
      </c>
    </row>
    <row r="14" ht="24.0" customHeight="1">
      <c r="A14" s="60" t="s">
        <v>145</v>
      </c>
      <c r="B14" s="158" t="s">
        <v>38</v>
      </c>
      <c r="C14" s="159"/>
      <c r="D14" s="160">
        <v>5.0</v>
      </c>
      <c r="E14" s="161"/>
      <c r="F14" s="114">
        <v>96.0</v>
      </c>
      <c r="G14" s="115"/>
      <c r="H14" s="116">
        <f t="shared" si="2"/>
        <v>480</v>
      </c>
      <c r="I14" s="117">
        <f t="shared" si="3"/>
        <v>0.6666666667</v>
      </c>
      <c r="J14" s="117">
        <f t="shared" si="4"/>
        <v>0.6666666667</v>
      </c>
      <c r="K14" s="118"/>
      <c r="L14" s="88"/>
      <c r="M14" s="105"/>
      <c r="N14" s="105"/>
      <c r="O14" s="105"/>
      <c r="P14" s="105"/>
      <c r="Q14" s="136"/>
      <c r="R14" s="120"/>
      <c r="S14" s="120">
        <f t="shared" si="5"/>
        <v>166666.6667</v>
      </c>
      <c r="T14" s="121">
        <v>250000.0</v>
      </c>
      <c r="U14" s="122"/>
      <c r="V14" s="123">
        <f t="shared" si="6"/>
        <v>129600</v>
      </c>
      <c r="W14" s="123">
        <f t="shared" si="7"/>
        <v>1296000</v>
      </c>
      <c r="X14" s="124">
        <v>2700.0</v>
      </c>
      <c r="Y14" s="125">
        <v>96.0</v>
      </c>
      <c r="Z14" s="126">
        <f t="shared" si="8"/>
        <v>0</v>
      </c>
    </row>
    <row r="15" ht="21.0" customHeight="1">
      <c r="A15" s="60" t="s">
        <v>146</v>
      </c>
      <c r="B15" s="158" t="s">
        <v>82</v>
      </c>
      <c r="C15" s="159"/>
      <c r="D15" s="160">
        <v>5.0</v>
      </c>
      <c r="E15" s="161"/>
      <c r="F15" s="114">
        <v>72.0</v>
      </c>
      <c r="G15" s="115"/>
      <c r="H15" s="116">
        <f t="shared" si="2"/>
        <v>360</v>
      </c>
      <c r="I15" s="117">
        <f t="shared" si="3"/>
        <v>0.5</v>
      </c>
      <c r="J15" s="117">
        <f t="shared" si="4"/>
        <v>0.5</v>
      </c>
      <c r="K15" s="118"/>
      <c r="L15" s="88"/>
      <c r="M15" s="105"/>
      <c r="N15" s="105"/>
      <c r="O15" s="105"/>
      <c r="P15" s="105"/>
      <c r="Q15" s="136"/>
      <c r="R15" s="120"/>
      <c r="S15" s="120">
        <f t="shared" si="5"/>
        <v>125000</v>
      </c>
      <c r="T15" s="121">
        <v>250000.0</v>
      </c>
      <c r="U15" s="122"/>
      <c r="V15" s="123">
        <f t="shared" si="6"/>
        <v>97200</v>
      </c>
      <c r="W15" s="123">
        <f t="shared" si="7"/>
        <v>972000</v>
      </c>
      <c r="X15" s="162">
        <v>2700.0</v>
      </c>
      <c r="Y15" s="125">
        <v>96.0</v>
      </c>
      <c r="Z15" s="126">
        <f t="shared" si="8"/>
        <v>-24</v>
      </c>
    </row>
    <row r="16" ht="21.0" customHeight="1">
      <c r="A16" s="60" t="s">
        <v>147</v>
      </c>
      <c r="B16" s="158" t="s">
        <v>83</v>
      </c>
      <c r="C16" s="159"/>
      <c r="D16" s="160">
        <v>2.5</v>
      </c>
      <c r="E16" s="161"/>
      <c r="F16" s="114">
        <v>72.0</v>
      </c>
      <c r="G16" s="115"/>
      <c r="H16" s="116">
        <f t="shared" si="2"/>
        <v>180</v>
      </c>
      <c r="I16" s="117">
        <f t="shared" si="3"/>
        <v>0.25</v>
      </c>
      <c r="J16" s="117">
        <f t="shared" si="4"/>
        <v>0.25</v>
      </c>
      <c r="K16" s="118"/>
      <c r="L16" s="88"/>
      <c r="M16" s="105"/>
      <c r="N16" s="105"/>
      <c r="O16" s="105"/>
      <c r="P16" s="105"/>
      <c r="Q16" s="136"/>
      <c r="R16" s="120"/>
      <c r="S16" s="120">
        <f t="shared" si="5"/>
        <v>62500</v>
      </c>
      <c r="T16" s="121">
        <v>250000.0</v>
      </c>
      <c r="U16" s="122"/>
      <c r="V16" s="123">
        <f t="shared" si="6"/>
        <v>72000</v>
      </c>
      <c r="W16" s="123">
        <f t="shared" si="7"/>
        <v>720000</v>
      </c>
      <c r="X16" s="162">
        <v>4000.0</v>
      </c>
      <c r="Y16" s="125">
        <v>72.0</v>
      </c>
      <c r="Z16" s="126">
        <f t="shared" si="8"/>
        <v>0</v>
      </c>
    </row>
    <row r="17" ht="21.0" customHeight="1">
      <c r="A17" s="60" t="s">
        <v>148</v>
      </c>
      <c r="B17" s="158" t="s">
        <v>84</v>
      </c>
      <c r="C17" s="159"/>
      <c r="D17" s="160">
        <v>5.0</v>
      </c>
      <c r="E17" s="161"/>
      <c r="F17" s="114">
        <v>72.0</v>
      </c>
      <c r="G17" s="115"/>
      <c r="H17" s="116">
        <f t="shared" si="2"/>
        <v>360</v>
      </c>
      <c r="I17" s="117">
        <f t="shared" si="3"/>
        <v>0.5</v>
      </c>
      <c r="J17" s="117">
        <f t="shared" si="4"/>
        <v>0.5</v>
      </c>
      <c r="K17" s="118"/>
      <c r="L17" s="88"/>
      <c r="M17" s="105"/>
      <c r="N17" s="105"/>
      <c r="O17" s="105"/>
      <c r="P17" s="105"/>
      <c r="Q17" s="136"/>
      <c r="R17" s="120"/>
      <c r="S17" s="120">
        <f t="shared" si="5"/>
        <v>125000</v>
      </c>
      <c r="T17" s="121">
        <v>250000.0</v>
      </c>
      <c r="U17" s="122"/>
      <c r="V17" s="123">
        <f t="shared" si="6"/>
        <v>97200</v>
      </c>
      <c r="W17" s="123">
        <f t="shared" si="7"/>
        <v>972000</v>
      </c>
      <c r="X17" s="124">
        <v>2700.0</v>
      </c>
      <c r="Y17" s="125">
        <v>96.0</v>
      </c>
      <c r="Z17" s="126">
        <f t="shared" si="8"/>
        <v>-24</v>
      </c>
    </row>
    <row r="18" ht="21.75" customHeight="1">
      <c r="A18" s="60" t="s">
        <v>149</v>
      </c>
      <c r="B18" s="163" t="s">
        <v>85</v>
      </c>
      <c r="C18" s="159"/>
      <c r="D18" s="160">
        <v>2.5</v>
      </c>
      <c r="E18" s="161"/>
      <c r="F18" s="114">
        <v>24.0</v>
      </c>
      <c r="G18" s="115"/>
      <c r="H18" s="116">
        <f t="shared" si="2"/>
        <v>60</v>
      </c>
      <c r="I18" s="117">
        <f t="shared" si="3"/>
        <v>0.08333333333</v>
      </c>
      <c r="J18" s="117">
        <f t="shared" si="4"/>
        <v>0.08333333333</v>
      </c>
      <c r="K18" s="118"/>
      <c r="L18" s="88"/>
      <c r="M18" s="105"/>
      <c r="N18" s="105"/>
      <c r="O18" s="105"/>
      <c r="P18" s="105"/>
      <c r="Q18" s="136"/>
      <c r="R18" s="120"/>
      <c r="S18" s="120">
        <f t="shared" si="5"/>
        <v>20833.33333</v>
      </c>
      <c r="T18" s="121">
        <v>250000.0</v>
      </c>
      <c r="U18" s="122"/>
      <c r="V18" s="123">
        <f t="shared" si="6"/>
        <v>24000</v>
      </c>
      <c r="W18" s="123">
        <f t="shared" si="7"/>
        <v>240000</v>
      </c>
      <c r="X18" s="124">
        <v>4000.0</v>
      </c>
      <c r="Y18" s="125">
        <v>24.0</v>
      </c>
      <c r="Z18" s="126">
        <f t="shared" si="8"/>
        <v>0</v>
      </c>
    </row>
    <row r="19" ht="24.75" customHeight="1">
      <c r="A19" s="60" t="s">
        <v>150</v>
      </c>
      <c r="B19" s="164" t="s">
        <v>86</v>
      </c>
      <c r="C19" s="165"/>
      <c r="D19" s="160">
        <v>2.5</v>
      </c>
      <c r="E19" s="161"/>
      <c r="F19" s="114">
        <v>72.0</v>
      </c>
      <c r="G19" s="115"/>
      <c r="H19" s="116">
        <f t="shared" si="2"/>
        <v>180</v>
      </c>
      <c r="I19" s="117">
        <f t="shared" si="3"/>
        <v>0.25</v>
      </c>
      <c r="J19" s="117">
        <f t="shared" si="4"/>
        <v>0.25</v>
      </c>
      <c r="K19" s="118"/>
      <c r="L19" s="88"/>
      <c r="M19" s="105"/>
      <c r="N19" s="105"/>
      <c r="O19" s="105"/>
      <c r="P19" s="105"/>
      <c r="Q19" s="136"/>
      <c r="R19" s="120"/>
      <c r="S19" s="120">
        <f t="shared" si="5"/>
        <v>62500</v>
      </c>
      <c r="T19" s="121">
        <v>250000.0</v>
      </c>
      <c r="U19" s="122"/>
      <c r="V19" s="123">
        <f t="shared" si="6"/>
        <v>72000</v>
      </c>
      <c r="W19" s="123">
        <f t="shared" si="7"/>
        <v>720000</v>
      </c>
      <c r="X19" s="124">
        <v>4000.0</v>
      </c>
      <c r="Y19" s="125">
        <v>48.0</v>
      </c>
      <c r="Z19" s="126">
        <f t="shared" si="8"/>
        <v>24</v>
      </c>
    </row>
    <row r="20" ht="12.75" hidden="1" customHeight="1">
      <c r="A20" s="166" t="s">
        <v>151</v>
      </c>
      <c r="B20" s="135" t="s">
        <v>87</v>
      </c>
      <c r="C20" s="112"/>
      <c r="D20" s="14">
        <v>10.0</v>
      </c>
      <c r="E20" s="14"/>
      <c r="F20" s="114">
        <v>72.0</v>
      </c>
      <c r="G20" s="115"/>
      <c r="H20" s="116">
        <f t="shared" si="2"/>
        <v>720</v>
      </c>
      <c r="I20" s="117">
        <f t="shared" si="3"/>
        <v>1</v>
      </c>
      <c r="J20" s="117">
        <f t="shared" si="4"/>
        <v>1</v>
      </c>
      <c r="K20" s="105"/>
      <c r="L20" s="75"/>
      <c r="M20" s="105"/>
      <c r="N20" s="105"/>
      <c r="O20" s="105"/>
      <c r="P20" s="105"/>
      <c r="Q20" s="167"/>
      <c r="R20" s="120"/>
      <c r="S20" s="120">
        <f t="shared" si="5"/>
        <v>250000</v>
      </c>
      <c r="T20" s="121">
        <v>250000.0</v>
      </c>
      <c r="U20" s="122"/>
      <c r="V20" s="168">
        <f>(H20/10)*2700</f>
        <v>194400</v>
      </c>
      <c r="W20" s="168">
        <f t="shared" si="7"/>
        <v>1944000</v>
      </c>
      <c r="X20" s="124">
        <v>2700.0</v>
      </c>
      <c r="Y20" s="125">
        <v>72.0</v>
      </c>
    </row>
    <row r="21" ht="12.75" customHeight="1">
      <c r="A21" s="169"/>
      <c r="B21" s="170" t="s">
        <v>152</v>
      </c>
      <c r="C21" s="171"/>
      <c r="D21" s="172"/>
      <c r="E21" s="172"/>
      <c r="F21" s="173"/>
      <c r="G21" s="172"/>
      <c r="H21" s="174">
        <f t="shared" si="2"/>
        <v>0</v>
      </c>
      <c r="I21" s="172">
        <f t="shared" si="3"/>
        <v>0</v>
      </c>
      <c r="J21" s="175">
        <f t="shared" ref="J21:K21" si="9">SUM(J4:J20)</f>
        <v>9.083333333</v>
      </c>
      <c r="K21" s="176">
        <f t="shared" si="9"/>
        <v>0</v>
      </c>
      <c r="L21" s="171"/>
      <c r="M21" s="176"/>
      <c r="N21" s="176"/>
      <c r="O21" s="176"/>
      <c r="P21" s="176"/>
      <c r="Q21" s="177"/>
      <c r="R21" s="178"/>
      <c r="S21" s="179">
        <f>SUM(S4:S20)</f>
        <v>2270833.333</v>
      </c>
      <c r="T21" s="180"/>
      <c r="U21" s="181"/>
      <c r="V21" s="176">
        <f t="shared" ref="V21:W21" si="10">SUM(V4:V20)</f>
        <v>1882800</v>
      </c>
      <c r="W21" s="182">
        <f t="shared" si="10"/>
        <v>18828000</v>
      </c>
      <c r="X21" s="172"/>
    </row>
    <row r="22" ht="24.75" customHeight="1">
      <c r="A22" s="100" t="s">
        <v>153</v>
      </c>
      <c r="B22" s="183" t="s">
        <v>88</v>
      </c>
      <c r="C22" s="112"/>
      <c r="D22" s="16">
        <v>2.0</v>
      </c>
      <c r="E22" s="10"/>
      <c r="F22" s="64">
        <v>96.0</v>
      </c>
      <c r="G22" s="184">
        <v>29.0</v>
      </c>
      <c r="H22" s="116">
        <f t="shared" ref="H22:H25" si="11">(F22*D22)+(G22*E22)</f>
        <v>192</v>
      </c>
      <c r="I22" s="117">
        <f t="shared" si="3"/>
        <v>0.2666666667</v>
      </c>
      <c r="J22" s="117">
        <f t="shared" ref="J22:J25" si="12">I22</f>
        <v>0.2666666667</v>
      </c>
      <c r="K22" s="118"/>
      <c r="L22" s="88"/>
      <c r="M22" s="105"/>
      <c r="N22" s="105"/>
      <c r="O22" s="105"/>
      <c r="P22" s="105"/>
      <c r="Q22" s="136"/>
      <c r="R22" s="120"/>
      <c r="S22" s="120">
        <f t="shared" ref="S22:S26" si="13">I22*T22</f>
        <v>66666.66667</v>
      </c>
      <c r="T22" s="121">
        <v>250000.0</v>
      </c>
      <c r="U22" s="185"/>
      <c r="V22" s="168">
        <f>(H22/10)*X22</f>
        <v>76800</v>
      </c>
      <c r="W22" s="186">
        <f t="shared" ref="W22:W25" si="14">H22*X22</f>
        <v>768000</v>
      </c>
      <c r="X22" s="124">
        <v>4000.0</v>
      </c>
    </row>
    <row r="23" ht="36.0" customHeight="1">
      <c r="A23" s="100" t="s">
        <v>154</v>
      </c>
      <c r="B23" s="187" t="s">
        <v>89</v>
      </c>
      <c r="C23" s="112"/>
      <c r="D23" s="10">
        <v>3.0</v>
      </c>
      <c r="E23" s="10">
        <v>1.0</v>
      </c>
      <c r="F23" s="64">
        <v>96.0</v>
      </c>
      <c r="G23" s="184">
        <v>29.0</v>
      </c>
      <c r="H23" s="116">
        <f t="shared" si="11"/>
        <v>317</v>
      </c>
      <c r="I23" s="117">
        <f t="shared" si="3"/>
        <v>0.4402777778</v>
      </c>
      <c r="J23" s="117">
        <f t="shared" si="12"/>
        <v>0.4402777778</v>
      </c>
      <c r="K23" s="118"/>
      <c r="L23" s="88"/>
      <c r="M23" s="105"/>
      <c r="N23" s="105"/>
      <c r="O23" s="105"/>
      <c r="P23" s="105"/>
      <c r="Q23" s="136"/>
      <c r="R23" s="120"/>
      <c r="S23" s="120">
        <f t="shared" si="13"/>
        <v>110069.4444</v>
      </c>
      <c r="T23" s="121">
        <v>250000.0</v>
      </c>
      <c r="U23" s="185"/>
      <c r="V23" s="124">
        <f t="shared" ref="V23:V25" si="15">(H23/10)*2700</f>
        <v>85590</v>
      </c>
      <c r="W23" s="186">
        <f t="shared" si="14"/>
        <v>1268000</v>
      </c>
      <c r="X23" s="124">
        <v>4000.0</v>
      </c>
    </row>
    <row r="24" ht="45.75" customHeight="1">
      <c r="A24" s="100" t="s">
        <v>155</v>
      </c>
      <c r="B24" s="187" t="s">
        <v>45</v>
      </c>
      <c r="C24" s="112"/>
      <c r="D24" s="10">
        <v>3.0</v>
      </c>
      <c r="E24" s="10">
        <v>1.0</v>
      </c>
      <c r="F24" s="64">
        <v>48.0</v>
      </c>
      <c r="G24" s="184">
        <v>15.0</v>
      </c>
      <c r="H24" s="116">
        <f t="shared" si="11"/>
        <v>159</v>
      </c>
      <c r="I24" s="117">
        <f t="shared" si="3"/>
        <v>0.2208333333</v>
      </c>
      <c r="J24" s="117">
        <f t="shared" si="12"/>
        <v>0.2208333333</v>
      </c>
      <c r="K24" s="118"/>
      <c r="L24" s="88"/>
      <c r="M24" s="105"/>
      <c r="N24" s="105"/>
      <c r="O24" s="105"/>
      <c r="P24" s="105"/>
      <c r="Q24" s="136"/>
      <c r="R24" s="120"/>
      <c r="S24" s="120">
        <f t="shared" si="13"/>
        <v>55208.33333</v>
      </c>
      <c r="T24" s="121">
        <v>250000.0</v>
      </c>
      <c r="U24" s="185"/>
      <c r="V24" s="124">
        <f t="shared" si="15"/>
        <v>42930</v>
      </c>
      <c r="W24" s="186">
        <f t="shared" si="14"/>
        <v>636000</v>
      </c>
      <c r="X24" s="124">
        <v>4000.0</v>
      </c>
    </row>
    <row r="25" ht="39.0" customHeight="1">
      <c r="A25" s="100" t="s">
        <v>156</v>
      </c>
      <c r="B25" s="187" t="s">
        <v>48</v>
      </c>
      <c r="C25" s="112"/>
      <c r="D25" s="10">
        <v>3.0</v>
      </c>
      <c r="E25" s="10">
        <v>1.0</v>
      </c>
      <c r="F25" s="64">
        <v>120.0</v>
      </c>
      <c r="G25" s="184">
        <v>51.0</v>
      </c>
      <c r="H25" s="116">
        <f t="shared" si="11"/>
        <v>411</v>
      </c>
      <c r="I25" s="117">
        <f t="shared" si="3"/>
        <v>0.5708333333</v>
      </c>
      <c r="J25" s="117">
        <f t="shared" si="12"/>
        <v>0.5708333333</v>
      </c>
      <c r="K25" s="118"/>
      <c r="L25" s="88"/>
      <c r="M25" s="105"/>
      <c r="N25" s="105"/>
      <c r="O25" s="105"/>
      <c r="P25" s="105"/>
      <c r="Q25" s="136"/>
      <c r="R25" s="120"/>
      <c r="S25" s="120">
        <f t="shared" si="13"/>
        <v>142708.3333</v>
      </c>
      <c r="T25" s="121">
        <v>250000.0</v>
      </c>
      <c r="U25" s="185"/>
      <c r="V25" s="124">
        <f t="shared" si="15"/>
        <v>110970</v>
      </c>
      <c r="W25" s="186">
        <f t="shared" si="14"/>
        <v>1644000</v>
      </c>
      <c r="X25" s="124">
        <v>4000.0</v>
      </c>
    </row>
    <row r="26" ht="12.75" customHeight="1">
      <c r="A26" s="188"/>
      <c r="B26" s="189" t="s">
        <v>87</v>
      </c>
      <c r="C26" s="190"/>
      <c r="D26" s="191"/>
      <c r="E26" s="191"/>
      <c r="F26" s="192"/>
      <c r="G26" s="115"/>
      <c r="H26" s="193">
        <f t="shared" ref="H26:H27" si="16">F26*D26</f>
        <v>0</v>
      </c>
      <c r="I26" s="194">
        <f t="shared" si="3"/>
        <v>0</v>
      </c>
      <c r="J26" s="194"/>
      <c r="K26" s="195"/>
      <c r="L26" s="88"/>
      <c r="M26" s="105"/>
      <c r="N26" s="105"/>
      <c r="O26" s="105"/>
      <c r="P26" s="105"/>
      <c r="Q26" s="167"/>
      <c r="R26" s="120"/>
      <c r="S26" s="120">
        <f t="shared" si="13"/>
        <v>0</v>
      </c>
      <c r="T26" s="121"/>
      <c r="U26" s="122"/>
      <c r="V26" s="196"/>
      <c r="W26" s="197"/>
      <c r="X26" s="124"/>
    </row>
    <row r="27" ht="12.75" customHeight="1">
      <c r="A27" s="198"/>
      <c r="B27" s="171" t="s">
        <v>157</v>
      </c>
      <c r="C27" s="171"/>
      <c r="D27" s="177"/>
      <c r="E27" s="177"/>
      <c r="F27" s="177"/>
      <c r="G27" s="177"/>
      <c r="H27" s="199">
        <f t="shared" si="16"/>
        <v>0</v>
      </c>
      <c r="I27" s="172">
        <f t="shared" si="3"/>
        <v>0</v>
      </c>
      <c r="J27" s="175">
        <f t="shared" ref="J27:K27" si="17">SUM(J22:J26)</f>
        <v>1.498611111</v>
      </c>
      <c r="K27" s="176">
        <f t="shared" si="17"/>
        <v>0</v>
      </c>
      <c r="L27" s="171"/>
      <c r="M27" s="176"/>
      <c r="N27" s="176"/>
      <c r="O27" s="176"/>
      <c r="P27" s="176"/>
      <c r="Q27" s="177"/>
      <c r="R27" s="176"/>
      <c r="S27" s="176">
        <f>SUM(S22:S26)</f>
        <v>374652.7778</v>
      </c>
      <c r="T27" s="172"/>
      <c r="U27" s="177"/>
      <c r="V27" s="176">
        <f t="shared" ref="V27:W27" si="18">SUM(V22:V26)</f>
        <v>316290</v>
      </c>
      <c r="W27" s="182">
        <f t="shared" si="18"/>
        <v>4316000</v>
      </c>
      <c r="X27" s="172"/>
    </row>
    <row r="28" ht="22.5" customHeight="1">
      <c r="A28" s="100" t="s">
        <v>158</v>
      </c>
      <c r="B28" s="200" t="s">
        <v>159</v>
      </c>
      <c r="C28" s="49"/>
      <c r="D28" s="184">
        <v>6.0</v>
      </c>
      <c r="E28" s="184">
        <v>1.0</v>
      </c>
      <c r="F28" s="184">
        <v>168.0</v>
      </c>
      <c r="G28" s="184">
        <v>84.0</v>
      </c>
      <c r="H28" s="201">
        <f t="shared" ref="H28:H37" si="19">(F28*D28)+(G28*E28)</f>
        <v>1092</v>
      </c>
      <c r="I28" s="117">
        <f t="shared" si="3"/>
        <v>1.516666667</v>
      </c>
      <c r="J28" s="117">
        <f t="shared" ref="J28:J37" si="20">I28</f>
        <v>1.516666667</v>
      </c>
      <c r="K28" s="105"/>
      <c r="L28" s="202">
        <f t="shared" ref="L28:L33" si="21">I28*T28</f>
        <v>530833.3333</v>
      </c>
      <c r="M28" s="88">
        <v>72.0</v>
      </c>
      <c r="N28" s="88">
        <f t="shared" ref="N28:N35" si="22">M28*2700</f>
        <v>194400</v>
      </c>
      <c r="O28" s="105"/>
      <c r="P28" s="105"/>
      <c r="Q28" s="105"/>
      <c r="R28" s="203">
        <f t="shared" ref="R28:R37" si="23">S28/J28</f>
        <v>350000</v>
      </c>
      <c r="S28" s="204">
        <f t="shared" ref="S28:S37" si="24">I28*T28</f>
        <v>530833.3333</v>
      </c>
      <c r="T28" s="205">
        <v>350000.0</v>
      </c>
      <c r="U28" s="206">
        <f t="shared" ref="U28:U37" si="25">V28/J28</f>
        <v>194400</v>
      </c>
      <c r="V28" s="124">
        <f t="shared" ref="V28:V37" si="26">(H28/10)*2700</f>
        <v>294840</v>
      </c>
      <c r="W28" s="186">
        <f t="shared" ref="W28:W37" si="27">H28*X28</f>
        <v>2948400</v>
      </c>
      <c r="X28" s="124">
        <v>2700.0</v>
      </c>
    </row>
    <row r="29" ht="15.75" customHeight="1">
      <c r="A29" s="100" t="s">
        <v>160</v>
      </c>
      <c r="B29" s="49" t="s">
        <v>161</v>
      </c>
      <c r="C29" s="49"/>
      <c r="D29" s="184">
        <v>6.0</v>
      </c>
      <c r="E29" s="184">
        <v>1.0</v>
      </c>
      <c r="F29" s="184">
        <v>264.0</v>
      </c>
      <c r="G29" s="184">
        <v>216.0</v>
      </c>
      <c r="H29" s="201">
        <f t="shared" si="19"/>
        <v>1800</v>
      </c>
      <c r="I29" s="117">
        <f t="shared" si="3"/>
        <v>2.5</v>
      </c>
      <c r="J29" s="117">
        <f t="shared" si="20"/>
        <v>2.5</v>
      </c>
      <c r="K29" s="105"/>
      <c r="L29" s="202">
        <f t="shared" si="21"/>
        <v>875000</v>
      </c>
      <c r="M29" s="88">
        <v>96.0</v>
      </c>
      <c r="N29" s="88">
        <f t="shared" si="22"/>
        <v>259200</v>
      </c>
      <c r="O29" s="105"/>
      <c r="P29" s="105"/>
      <c r="Q29" s="105"/>
      <c r="R29" s="203">
        <f t="shared" si="23"/>
        <v>350000</v>
      </c>
      <c r="S29" s="204">
        <f t="shared" si="24"/>
        <v>875000</v>
      </c>
      <c r="T29" s="205">
        <v>350000.0</v>
      </c>
      <c r="U29" s="124">
        <f t="shared" si="25"/>
        <v>194400</v>
      </c>
      <c r="V29" s="124">
        <f t="shared" si="26"/>
        <v>486000</v>
      </c>
      <c r="W29" s="186">
        <f t="shared" si="27"/>
        <v>4860000</v>
      </c>
      <c r="X29" s="124">
        <v>2700.0</v>
      </c>
    </row>
    <row r="30" ht="12.75" customHeight="1">
      <c r="A30" s="100" t="s">
        <v>162</v>
      </c>
      <c r="B30" s="207" t="s">
        <v>163</v>
      </c>
      <c r="C30" s="49"/>
      <c r="D30" s="184">
        <v>3.0</v>
      </c>
      <c r="E30" s="184">
        <v>2.0</v>
      </c>
      <c r="F30" s="208">
        <v>336.0</v>
      </c>
      <c r="G30" s="184">
        <v>156.0</v>
      </c>
      <c r="H30" s="201">
        <f t="shared" si="19"/>
        <v>1320</v>
      </c>
      <c r="I30" s="117">
        <f t="shared" si="3"/>
        <v>1.833333333</v>
      </c>
      <c r="J30" s="117">
        <f t="shared" si="20"/>
        <v>1.833333333</v>
      </c>
      <c r="K30" s="105"/>
      <c r="L30" s="202">
        <f t="shared" si="21"/>
        <v>641666.6667</v>
      </c>
      <c r="M30" s="88">
        <v>96.0</v>
      </c>
      <c r="N30" s="88">
        <f t="shared" si="22"/>
        <v>259200</v>
      </c>
      <c r="O30" s="105"/>
      <c r="P30" s="105"/>
      <c r="Q30" s="105"/>
      <c r="R30" s="203">
        <f t="shared" si="23"/>
        <v>350000</v>
      </c>
      <c r="S30" s="204">
        <f t="shared" si="24"/>
        <v>641666.6667</v>
      </c>
      <c r="T30" s="205">
        <v>350000.0</v>
      </c>
      <c r="U30" s="206">
        <f t="shared" si="25"/>
        <v>194400</v>
      </c>
      <c r="V30" s="124">
        <f t="shared" si="26"/>
        <v>356400</v>
      </c>
      <c r="W30" s="186">
        <f t="shared" si="27"/>
        <v>3564000</v>
      </c>
      <c r="X30" s="124">
        <v>2700.0</v>
      </c>
    </row>
    <row r="31" ht="12.75" customHeight="1">
      <c r="A31" s="100" t="s">
        <v>164</v>
      </c>
      <c r="B31" s="49" t="s">
        <v>165</v>
      </c>
      <c r="C31" s="49"/>
      <c r="D31" s="184">
        <v>3.0</v>
      </c>
      <c r="E31" s="184">
        <v>2.0</v>
      </c>
      <c r="F31" s="208">
        <v>360.0</v>
      </c>
      <c r="G31" s="184">
        <v>130.0</v>
      </c>
      <c r="H31" s="201">
        <f t="shared" si="19"/>
        <v>1340</v>
      </c>
      <c r="I31" s="117">
        <f t="shared" si="3"/>
        <v>1.861111111</v>
      </c>
      <c r="J31" s="117">
        <f t="shared" si="20"/>
        <v>1.861111111</v>
      </c>
      <c r="K31" s="105"/>
      <c r="L31" s="202">
        <f t="shared" si="21"/>
        <v>651388.8889</v>
      </c>
      <c r="M31" s="88">
        <v>96.0</v>
      </c>
      <c r="N31" s="88">
        <f t="shared" si="22"/>
        <v>259200</v>
      </c>
      <c r="O31" s="105"/>
      <c r="P31" s="105"/>
      <c r="Q31" s="105"/>
      <c r="R31" s="203">
        <f t="shared" si="23"/>
        <v>350000</v>
      </c>
      <c r="S31" s="204">
        <f t="shared" si="24"/>
        <v>651388.8889</v>
      </c>
      <c r="T31" s="205">
        <v>350000.0</v>
      </c>
      <c r="U31" s="124">
        <f t="shared" si="25"/>
        <v>194400</v>
      </c>
      <c r="V31" s="124">
        <f t="shared" si="26"/>
        <v>361800</v>
      </c>
      <c r="W31" s="186">
        <f t="shared" si="27"/>
        <v>3618000</v>
      </c>
      <c r="X31" s="124">
        <v>2700.0</v>
      </c>
    </row>
    <row r="32" ht="12.75" customHeight="1">
      <c r="A32" s="100" t="s">
        <v>166</v>
      </c>
      <c r="B32" s="49" t="s">
        <v>167</v>
      </c>
      <c r="C32" s="49"/>
      <c r="D32" s="184">
        <v>3.0</v>
      </c>
      <c r="E32" s="184">
        <v>2.0</v>
      </c>
      <c r="F32" s="208">
        <v>264.0</v>
      </c>
      <c r="G32" s="184">
        <v>108.0</v>
      </c>
      <c r="H32" s="201">
        <f t="shared" si="19"/>
        <v>1008</v>
      </c>
      <c r="I32" s="117">
        <f t="shared" si="3"/>
        <v>1.4</v>
      </c>
      <c r="J32" s="117">
        <f t="shared" si="20"/>
        <v>1.4</v>
      </c>
      <c r="K32" s="105"/>
      <c r="L32" s="202">
        <f t="shared" si="21"/>
        <v>490000</v>
      </c>
      <c r="M32" s="88">
        <v>96.0</v>
      </c>
      <c r="N32" s="88">
        <f t="shared" si="22"/>
        <v>259200</v>
      </c>
      <c r="O32" s="105"/>
      <c r="P32" s="105"/>
      <c r="Q32" s="105"/>
      <c r="R32" s="203">
        <f t="shared" si="23"/>
        <v>350000</v>
      </c>
      <c r="S32" s="204">
        <f t="shared" si="24"/>
        <v>490000</v>
      </c>
      <c r="T32" s="205">
        <v>350000.0</v>
      </c>
      <c r="U32" s="124">
        <f t="shared" si="25"/>
        <v>194400</v>
      </c>
      <c r="V32" s="124">
        <f t="shared" si="26"/>
        <v>272160</v>
      </c>
      <c r="W32" s="186">
        <f t="shared" si="27"/>
        <v>2721600</v>
      </c>
      <c r="X32" s="124">
        <v>2700.0</v>
      </c>
    </row>
    <row r="33" ht="28.5" customHeight="1">
      <c r="A33" s="100" t="s">
        <v>168</v>
      </c>
      <c r="B33" s="207" t="s">
        <v>169</v>
      </c>
      <c r="C33" s="49"/>
      <c r="D33" s="184">
        <v>3.0</v>
      </c>
      <c r="E33" s="184">
        <v>2.0</v>
      </c>
      <c r="F33" s="208">
        <v>144.0</v>
      </c>
      <c r="G33" s="184">
        <v>65.0</v>
      </c>
      <c r="H33" s="201">
        <f t="shared" si="19"/>
        <v>562</v>
      </c>
      <c r="I33" s="209">
        <f t="shared" si="3"/>
        <v>0.7805555556</v>
      </c>
      <c r="J33" s="209">
        <f t="shared" si="20"/>
        <v>0.7805555556</v>
      </c>
      <c r="K33" s="210"/>
      <c r="L33" s="202">
        <f t="shared" si="21"/>
        <v>273194.4444</v>
      </c>
      <c r="M33" s="88">
        <v>96.0</v>
      </c>
      <c r="N33" s="88">
        <f t="shared" si="22"/>
        <v>259200</v>
      </c>
      <c r="O33" s="105"/>
      <c r="P33" s="105"/>
      <c r="Q33" s="105"/>
      <c r="R33" s="203">
        <f t="shared" si="23"/>
        <v>350000</v>
      </c>
      <c r="S33" s="204">
        <f t="shared" si="24"/>
        <v>273194.4444</v>
      </c>
      <c r="T33" s="205">
        <v>350000.0</v>
      </c>
      <c r="U33" s="124">
        <f t="shared" si="25"/>
        <v>194400</v>
      </c>
      <c r="V33" s="124">
        <f t="shared" si="26"/>
        <v>151740</v>
      </c>
      <c r="W33" s="186">
        <f t="shared" si="27"/>
        <v>1517400</v>
      </c>
      <c r="X33" s="124">
        <v>2700.0</v>
      </c>
    </row>
    <row r="34" ht="35.25" customHeight="1">
      <c r="A34" s="100" t="s">
        <v>170</v>
      </c>
      <c r="B34" s="200" t="s">
        <v>171</v>
      </c>
      <c r="C34" s="49"/>
      <c r="D34" s="184">
        <v>1.0</v>
      </c>
      <c r="E34" s="184">
        <v>1.0</v>
      </c>
      <c r="F34" s="208">
        <v>144.0</v>
      </c>
      <c r="G34" s="184">
        <v>84.0</v>
      </c>
      <c r="H34" s="201">
        <f t="shared" si="19"/>
        <v>228</v>
      </c>
      <c r="I34" s="117">
        <f t="shared" si="3"/>
        <v>0.3166666667</v>
      </c>
      <c r="J34" s="117">
        <f t="shared" si="20"/>
        <v>0.3166666667</v>
      </c>
      <c r="K34" s="105"/>
      <c r="L34" s="202"/>
      <c r="M34" s="88">
        <v>96.0</v>
      </c>
      <c r="N34" s="88">
        <f t="shared" si="22"/>
        <v>259200</v>
      </c>
      <c r="O34" s="105"/>
      <c r="P34" s="105"/>
      <c r="Q34" s="105"/>
      <c r="R34" s="203">
        <f t="shared" si="23"/>
        <v>350000</v>
      </c>
      <c r="S34" s="204">
        <f t="shared" si="24"/>
        <v>110833.3333</v>
      </c>
      <c r="T34" s="205">
        <v>350000.0</v>
      </c>
      <c r="U34" s="206">
        <f t="shared" si="25"/>
        <v>194400</v>
      </c>
      <c r="V34" s="124">
        <f t="shared" si="26"/>
        <v>61560</v>
      </c>
      <c r="W34" s="186">
        <f t="shared" si="27"/>
        <v>615600</v>
      </c>
      <c r="X34" s="124">
        <v>2700.0</v>
      </c>
    </row>
    <row r="35" ht="27.75" customHeight="1">
      <c r="A35" s="100" t="s">
        <v>172</v>
      </c>
      <c r="B35" s="207" t="s">
        <v>173</v>
      </c>
      <c r="C35" s="49"/>
      <c r="D35" s="184">
        <v>1.0</v>
      </c>
      <c r="E35" s="184">
        <v>1.0</v>
      </c>
      <c r="F35" s="208">
        <v>144.0</v>
      </c>
      <c r="G35" s="184">
        <v>84.0</v>
      </c>
      <c r="H35" s="201">
        <f t="shared" si="19"/>
        <v>228</v>
      </c>
      <c r="I35" s="117">
        <f t="shared" si="3"/>
        <v>0.3166666667</v>
      </c>
      <c r="J35" s="117">
        <f t="shared" si="20"/>
        <v>0.3166666667</v>
      </c>
      <c r="K35" s="105"/>
      <c r="L35" s="202"/>
      <c r="M35" s="88">
        <v>96.0</v>
      </c>
      <c r="N35" s="88">
        <f t="shared" si="22"/>
        <v>259200</v>
      </c>
      <c r="O35" s="105"/>
      <c r="P35" s="105"/>
      <c r="Q35" s="105"/>
      <c r="R35" s="203">
        <f t="shared" si="23"/>
        <v>350000</v>
      </c>
      <c r="S35" s="204">
        <f t="shared" si="24"/>
        <v>110833.3333</v>
      </c>
      <c r="T35" s="205">
        <v>350000.0</v>
      </c>
      <c r="U35" s="124">
        <f t="shared" si="25"/>
        <v>194400</v>
      </c>
      <c r="V35" s="124">
        <f t="shared" si="26"/>
        <v>61560</v>
      </c>
      <c r="W35" s="186">
        <f t="shared" si="27"/>
        <v>615600</v>
      </c>
      <c r="X35" s="124">
        <v>2700.0</v>
      </c>
    </row>
    <row r="36" ht="12.75" customHeight="1">
      <c r="A36" s="100"/>
      <c r="B36" s="211" t="s">
        <v>174</v>
      </c>
      <c r="C36" s="49"/>
      <c r="D36" s="184">
        <v>1.0</v>
      </c>
      <c r="E36" s="184">
        <v>1.0</v>
      </c>
      <c r="F36" s="184">
        <v>96.0</v>
      </c>
      <c r="G36" s="184">
        <v>44.0</v>
      </c>
      <c r="H36" s="201">
        <f t="shared" si="19"/>
        <v>140</v>
      </c>
      <c r="I36" s="117">
        <f t="shared" si="3"/>
        <v>0.1944444444</v>
      </c>
      <c r="J36" s="117">
        <f t="shared" si="20"/>
        <v>0.1944444444</v>
      </c>
      <c r="K36" s="105"/>
      <c r="L36" s="202"/>
      <c r="M36" s="88"/>
      <c r="N36" s="88"/>
      <c r="O36" s="105"/>
      <c r="P36" s="105"/>
      <c r="Q36" s="105"/>
      <c r="R36" s="203">
        <f t="shared" si="23"/>
        <v>350000</v>
      </c>
      <c r="S36" s="204">
        <f t="shared" si="24"/>
        <v>68055.55556</v>
      </c>
      <c r="T36" s="205">
        <v>350000.0</v>
      </c>
      <c r="U36" s="124">
        <f t="shared" si="25"/>
        <v>194400</v>
      </c>
      <c r="V36" s="124">
        <f t="shared" si="26"/>
        <v>37800</v>
      </c>
      <c r="W36" s="186">
        <f t="shared" si="27"/>
        <v>378000</v>
      </c>
      <c r="X36" s="124">
        <v>2700.0</v>
      </c>
    </row>
    <row r="37" ht="12.75" customHeight="1">
      <c r="A37" s="100"/>
      <c r="B37" s="211" t="s">
        <v>175</v>
      </c>
      <c r="C37" s="49"/>
      <c r="D37" s="184">
        <v>1.0</v>
      </c>
      <c r="E37" s="184">
        <v>1.0</v>
      </c>
      <c r="F37" s="184">
        <v>72.0</v>
      </c>
      <c r="G37" s="184">
        <v>22.0</v>
      </c>
      <c r="H37" s="201">
        <f t="shared" si="19"/>
        <v>94</v>
      </c>
      <c r="I37" s="117">
        <f t="shared" si="3"/>
        <v>0.1305555556</v>
      </c>
      <c r="J37" s="117">
        <f t="shared" si="20"/>
        <v>0.1305555556</v>
      </c>
      <c r="K37" s="105"/>
      <c r="L37" s="202"/>
      <c r="M37" s="88"/>
      <c r="N37" s="88"/>
      <c r="O37" s="105"/>
      <c r="P37" s="105"/>
      <c r="Q37" s="105"/>
      <c r="R37" s="203">
        <f t="shared" si="23"/>
        <v>350000</v>
      </c>
      <c r="S37" s="204">
        <f t="shared" si="24"/>
        <v>45694.44444</v>
      </c>
      <c r="T37" s="205">
        <v>350000.0</v>
      </c>
      <c r="U37" s="124">
        <f t="shared" si="25"/>
        <v>194400</v>
      </c>
      <c r="V37" s="124">
        <f t="shared" si="26"/>
        <v>25380</v>
      </c>
      <c r="W37" s="186">
        <f t="shared" si="27"/>
        <v>253800</v>
      </c>
      <c r="X37" s="124">
        <v>2700.0</v>
      </c>
    </row>
    <row r="38" ht="12.75" customHeight="1">
      <c r="A38" s="198"/>
      <c r="B38" s="171" t="s">
        <v>176</v>
      </c>
      <c r="C38" s="171"/>
      <c r="D38" s="177"/>
      <c r="E38" s="177"/>
      <c r="F38" s="172"/>
      <c r="G38" s="172"/>
      <c r="H38" s="177"/>
      <c r="I38" s="177"/>
      <c r="J38" s="175">
        <f t="shared" ref="J38:S38" si="28">SUM(J28:J37)</f>
        <v>10.85</v>
      </c>
      <c r="K38" s="176">
        <f t="shared" si="28"/>
        <v>0</v>
      </c>
      <c r="L38" s="175">
        <f t="shared" si="28"/>
        <v>3462083.333</v>
      </c>
      <c r="M38" s="175">
        <f t="shared" si="28"/>
        <v>744</v>
      </c>
      <c r="N38" s="175">
        <f t="shared" si="28"/>
        <v>2008800</v>
      </c>
      <c r="O38" s="175">
        <f t="shared" si="28"/>
        <v>0</v>
      </c>
      <c r="P38" s="175">
        <f t="shared" si="28"/>
        <v>0</v>
      </c>
      <c r="Q38" s="175">
        <f t="shared" si="28"/>
        <v>0</v>
      </c>
      <c r="R38" s="176">
        <f t="shared" si="28"/>
        <v>3500000</v>
      </c>
      <c r="S38" s="176">
        <f t="shared" si="28"/>
        <v>3797500</v>
      </c>
      <c r="T38" s="177"/>
      <c r="U38" s="176">
        <f t="shared" ref="U38:W38" si="29">SUM(U28:U37)</f>
        <v>1944000</v>
      </c>
      <c r="V38" s="176">
        <f t="shared" si="29"/>
        <v>2109240</v>
      </c>
      <c r="W38" s="177">
        <f t="shared" si="29"/>
        <v>21092400</v>
      </c>
      <c r="X38" s="172"/>
    </row>
    <row r="39" ht="12.75" customHeight="1">
      <c r="A39" s="212"/>
      <c r="B39" s="213" t="s">
        <v>177</v>
      </c>
      <c r="C39" s="214"/>
      <c r="D39" s="215"/>
      <c r="E39" s="215"/>
      <c r="F39" s="215"/>
      <c r="G39" s="215"/>
      <c r="H39" s="215"/>
      <c r="I39" s="215"/>
      <c r="J39" s="216">
        <f>J21+J27+J38</f>
        <v>21.43194444</v>
      </c>
      <c r="K39" s="215"/>
      <c r="L39" s="215"/>
      <c r="M39" s="215"/>
      <c r="N39" s="217"/>
      <c r="O39" s="217"/>
      <c r="P39" s="217"/>
      <c r="Q39" s="215"/>
      <c r="R39" s="218"/>
      <c r="S39" s="219">
        <f>S21+S27+S38</f>
        <v>6442986.111</v>
      </c>
      <c r="T39" s="220"/>
      <c r="U39" s="217">
        <f t="shared" ref="U39:W39" si="30">U21+U27+U38</f>
        <v>1944000</v>
      </c>
      <c r="V39" s="219">
        <f t="shared" si="30"/>
        <v>4308330</v>
      </c>
      <c r="W39" s="217">
        <f t="shared" si="30"/>
        <v>44236400</v>
      </c>
      <c r="X39" s="215"/>
    </row>
    <row r="40" ht="12.75" customHeight="1">
      <c r="A40" s="100"/>
      <c r="B40" s="75"/>
      <c r="C40" s="75"/>
      <c r="D40" s="115"/>
      <c r="E40" s="115"/>
      <c r="F40" s="115"/>
      <c r="G40" s="115"/>
      <c r="H40" s="115"/>
      <c r="I40" s="115"/>
      <c r="J40" s="221"/>
      <c r="K40" s="115"/>
      <c r="L40" s="115"/>
      <c r="M40" s="115"/>
      <c r="N40" s="115"/>
      <c r="O40" s="115"/>
      <c r="P40" s="115"/>
      <c r="Q40" s="115"/>
      <c r="R40" s="222"/>
      <c r="S40" s="222"/>
      <c r="T40" s="223"/>
      <c r="U40" s="115"/>
      <c r="V40" s="115"/>
      <c r="W40" s="115"/>
      <c r="X40" s="115"/>
    </row>
    <row r="41" ht="12.75" customHeight="1">
      <c r="A41" s="224"/>
      <c r="B41" s="225"/>
      <c r="C41" s="225"/>
      <c r="D41" s="226"/>
      <c r="E41" s="226"/>
      <c r="F41" s="227"/>
      <c r="G41" s="228"/>
      <c r="H41" s="229"/>
      <c r="I41" s="226"/>
      <c r="J41" s="226"/>
      <c r="K41" s="226"/>
      <c r="L41" s="230">
        <f>L38+Q38+V27+V21</f>
        <v>5661173.333</v>
      </c>
      <c r="M41" s="226"/>
      <c r="N41" s="226"/>
      <c r="O41" s="226"/>
      <c r="P41" s="226"/>
      <c r="Q41" s="226"/>
      <c r="R41" s="231"/>
      <c r="S41" s="231">
        <v>7.6924212E7</v>
      </c>
      <c r="T41" s="231"/>
      <c r="U41" s="226"/>
      <c r="V41" s="232">
        <v>7.6924212E7</v>
      </c>
      <c r="W41" s="226"/>
      <c r="X41" s="226"/>
      <c r="Y41" s="233"/>
    </row>
    <row r="42" ht="12.75" customHeight="1">
      <c r="A42" s="234"/>
      <c r="B42" s="233"/>
      <c r="C42" s="233"/>
      <c r="D42" s="235"/>
      <c r="E42" s="235"/>
      <c r="F42" s="236"/>
      <c r="G42" s="228"/>
      <c r="H42" s="237"/>
      <c r="I42" s="235"/>
      <c r="J42" s="235"/>
      <c r="K42" s="235"/>
      <c r="L42" s="238">
        <f>S42-L41</f>
        <v>668826.6667</v>
      </c>
      <c r="M42" s="235"/>
      <c r="N42" s="235"/>
      <c r="O42" s="235"/>
      <c r="P42" s="235"/>
      <c r="Q42" s="235"/>
      <c r="R42" s="239"/>
      <c r="S42" s="240">
        <v>6330000.0</v>
      </c>
      <c r="T42" s="239"/>
      <c r="U42" s="235"/>
      <c r="V42" s="235"/>
      <c r="W42" s="235"/>
      <c r="X42" s="235"/>
      <c r="Y42" s="233"/>
    </row>
    <row r="43" ht="12.75" customHeight="1">
      <c r="A43" s="234"/>
      <c r="B43" s="233"/>
      <c r="C43" s="233"/>
      <c r="D43" s="235"/>
      <c r="E43" s="235"/>
      <c r="F43" s="236"/>
      <c r="G43" s="228"/>
      <c r="H43" s="237"/>
      <c r="I43" s="235"/>
      <c r="J43" s="235"/>
      <c r="K43" s="235"/>
      <c r="L43" s="235"/>
      <c r="M43" s="235"/>
      <c r="N43" s="235"/>
      <c r="O43" s="235"/>
      <c r="P43" s="235"/>
      <c r="Q43" s="235"/>
      <c r="R43" s="241"/>
      <c r="S43" s="241">
        <f>S39/S41</f>
        <v>0.08375758352</v>
      </c>
      <c r="T43" s="239"/>
      <c r="U43" s="235"/>
      <c r="V43" s="242">
        <f>V39/V41</f>
        <v>0.05600746355</v>
      </c>
      <c r="W43" s="235"/>
      <c r="X43" s="235"/>
      <c r="Y43" s="233"/>
    </row>
    <row r="44" ht="12.75" customHeight="1">
      <c r="A44" s="74"/>
      <c r="G44" s="75"/>
      <c r="U44" s="243"/>
      <c r="V44" s="243"/>
      <c r="W44" s="243"/>
      <c r="X44" s="243"/>
    </row>
    <row r="45" ht="12.75" customHeight="1">
      <c r="A45" s="74"/>
      <c r="G45" s="75"/>
      <c r="L45" s="244">
        <f>L38*12</f>
        <v>41545000</v>
      </c>
      <c r="R45" s="245"/>
      <c r="S45" s="245"/>
      <c r="U45" s="243"/>
      <c r="V45" s="243"/>
      <c r="W45" s="243"/>
      <c r="X45" s="243"/>
    </row>
    <row r="46" ht="12.75" customHeight="1">
      <c r="A46" s="74"/>
      <c r="G46" s="75"/>
      <c r="L46" s="244">
        <f>Q38*10</f>
        <v>0</v>
      </c>
      <c r="U46" s="243"/>
      <c r="V46" s="243"/>
      <c r="W46" s="243"/>
      <c r="X46" s="243"/>
    </row>
    <row r="47" ht="12.75" customHeight="1">
      <c r="A47" s="74"/>
      <c r="G47" s="75"/>
      <c r="L47" s="244">
        <f>(V27+V21)*10</f>
        <v>21990900</v>
      </c>
      <c r="U47" s="243"/>
      <c r="V47" s="243"/>
      <c r="W47" s="243"/>
      <c r="X47" s="243"/>
    </row>
    <row r="48" ht="12.75" customHeight="1">
      <c r="A48" s="74"/>
      <c r="G48" s="75"/>
      <c r="L48" s="246">
        <f>SUM(L45:L47)</f>
        <v>63535900</v>
      </c>
      <c r="M48" s="243">
        <f>L48*0.8</f>
        <v>50828720</v>
      </c>
      <c r="U48" s="243"/>
      <c r="V48" s="243"/>
      <c r="W48" s="243"/>
      <c r="X48" s="243"/>
    </row>
    <row r="49" ht="12.75" customHeight="1">
      <c r="A49" s="74"/>
      <c r="G49" s="75"/>
      <c r="L49" s="244">
        <f>(L48*0.16)+L48</f>
        <v>73701644</v>
      </c>
      <c r="U49" s="243"/>
      <c r="V49" s="243"/>
      <c r="W49" s="243"/>
      <c r="X49" s="243"/>
    </row>
    <row r="50" ht="12.75" customHeight="1">
      <c r="A50" s="74"/>
      <c r="G50" s="75"/>
      <c r="L50" s="244">
        <v>3.84621058E8</v>
      </c>
      <c r="M50" s="243">
        <v>3.84621058E8</v>
      </c>
      <c r="U50" s="243"/>
      <c r="V50" s="243"/>
      <c r="W50" s="243"/>
      <c r="X50" s="243"/>
    </row>
    <row r="51" ht="12.75" customHeight="1">
      <c r="A51" s="74"/>
      <c r="G51" s="75"/>
      <c r="U51" s="243"/>
      <c r="V51" s="243"/>
      <c r="W51" s="243"/>
      <c r="X51" s="243"/>
    </row>
    <row r="52" ht="12.75" customHeight="1">
      <c r="A52" s="74"/>
      <c r="G52" s="75"/>
      <c r="K52" s="244" t="s">
        <v>178</v>
      </c>
      <c r="L52" s="247">
        <f t="shared" ref="L52:M52" si="31">L48/L50</f>
        <v>0.1651909033</v>
      </c>
      <c r="M52" s="247">
        <f t="shared" si="31"/>
        <v>0.1321527226</v>
      </c>
      <c r="N52" s="244" t="s">
        <v>179</v>
      </c>
      <c r="O52" s="248">
        <f>L48-S41</f>
        <v>-13388312</v>
      </c>
      <c r="U52" s="243"/>
      <c r="V52" s="243"/>
      <c r="W52" s="243"/>
      <c r="X52" s="243"/>
    </row>
    <row r="53" ht="12.75" customHeight="1">
      <c r="A53" s="74"/>
      <c r="G53" s="75"/>
      <c r="K53" s="244" t="s">
        <v>180</v>
      </c>
      <c r="L53" s="247">
        <f>L49/L50</f>
        <v>0.1916214478</v>
      </c>
      <c r="U53" s="243"/>
      <c r="V53" s="243"/>
      <c r="W53" s="243"/>
      <c r="X53" s="243"/>
    </row>
    <row r="54" ht="12.75" customHeight="1">
      <c r="A54" s="74"/>
      <c r="G54" s="75"/>
      <c r="U54" s="243"/>
      <c r="V54" s="243"/>
      <c r="W54" s="243"/>
      <c r="X54" s="243"/>
    </row>
    <row r="55" ht="12.75" customHeight="1">
      <c r="A55" s="74"/>
      <c r="G55" s="75"/>
      <c r="U55" s="243"/>
      <c r="V55" s="243"/>
      <c r="W55" s="243"/>
      <c r="X55" s="243"/>
    </row>
    <row r="56" ht="12.75" customHeight="1">
      <c r="A56" s="74"/>
      <c r="G56" s="75"/>
      <c r="U56" s="243"/>
      <c r="V56" s="243"/>
      <c r="W56" s="243"/>
      <c r="X56" s="243"/>
    </row>
    <row r="57" ht="12.75" customHeight="1">
      <c r="A57" s="74"/>
      <c r="G57" s="75"/>
      <c r="U57" s="243"/>
      <c r="V57" s="243"/>
      <c r="W57" s="243"/>
      <c r="X57" s="243"/>
    </row>
    <row r="58" ht="12.75" customHeight="1">
      <c r="A58" s="74"/>
      <c r="G58" s="75"/>
      <c r="U58" s="243"/>
      <c r="V58" s="243"/>
      <c r="W58" s="243"/>
      <c r="X58" s="243"/>
    </row>
    <row r="59" ht="12.75" customHeight="1">
      <c r="A59" s="74"/>
      <c r="G59" s="75"/>
      <c r="U59" s="243"/>
      <c r="V59" s="243"/>
      <c r="W59" s="243"/>
      <c r="X59" s="243"/>
    </row>
    <row r="60" ht="12.75" customHeight="1">
      <c r="A60" s="74"/>
      <c r="G60" s="75"/>
      <c r="U60" s="243"/>
      <c r="V60" s="243"/>
      <c r="W60" s="243"/>
      <c r="X60" s="243"/>
    </row>
    <row r="61" ht="12.75" customHeight="1">
      <c r="A61" s="74"/>
      <c r="G61" s="75"/>
      <c r="U61" s="243"/>
      <c r="V61" s="243"/>
      <c r="W61" s="243"/>
      <c r="X61" s="243"/>
    </row>
    <row r="62" ht="12.75" customHeight="1">
      <c r="A62" s="74"/>
      <c r="G62" s="75"/>
      <c r="U62" s="243"/>
      <c r="V62" s="243"/>
      <c r="W62" s="243"/>
      <c r="X62" s="243"/>
    </row>
    <row r="63" ht="12.75" customHeight="1">
      <c r="A63" s="74"/>
      <c r="G63" s="75"/>
      <c r="U63" s="243"/>
      <c r="V63" s="243"/>
      <c r="W63" s="243"/>
      <c r="X63" s="243"/>
    </row>
    <row r="64" ht="12.75" customHeight="1">
      <c r="A64" s="74"/>
      <c r="G64" s="75"/>
      <c r="U64" s="243"/>
      <c r="V64" s="243"/>
      <c r="W64" s="243"/>
      <c r="X64" s="243"/>
    </row>
    <row r="65" ht="12.75" customHeight="1">
      <c r="A65" s="74"/>
      <c r="G65" s="75"/>
      <c r="U65" s="243"/>
      <c r="V65" s="243"/>
      <c r="W65" s="243"/>
      <c r="X65" s="243"/>
    </row>
    <row r="66" ht="12.75" customHeight="1">
      <c r="A66" s="74"/>
      <c r="G66" s="75"/>
      <c r="U66" s="243"/>
      <c r="V66" s="243"/>
      <c r="W66" s="243"/>
      <c r="X66" s="243"/>
    </row>
    <row r="67" ht="12.75" customHeight="1">
      <c r="A67" s="74"/>
      <c r="G67" s="75"/>
      <c r="U67" s="243"/>
      <c r="V67" s="243"/>
      <c r="W67" s="243"/>
      <c r="X67" s="243"/>
    </row>
    <row r="68" ht="12.75" customHeight="1">
      <c r="A68" s="74"/>
      <c r="G68" s="75"/>
      <c r="U68" s="243"/>
      <c r="V68" s="243"/>
      <c r="W68" s="243"/>
      <c r="X68" s="243"/>
    </row>
    <row r="69" ht="12.75" customHeight="1">
      <c r="A69" s="74"/>
      <c r="G69" s="75"/>
      <c r="U69" s="243"/>
      <c r="V69" s="243"/>
      <c r="W69" s="243"/>
      <c r="X69" s="243"/>
    </row>
    <row r="70" ht="12.75" customHeight="1">
      <c r="A70" s="74"/>
      <c r="G70" s="75"/>
      <c r="U70" s="243"/>
      <c r="V70" s="243"/>
      <c r="W70" s="243"/>
      <c r="X70" s="243"/>
    </row>
    <row r="71" ht="12.75" customHeight="1">
      <c r="A71" s="74"/>
      <c r="G71" s="75"/>
      <c r="U71" s="243"/>
      <c r="V71" s="243"/>
      <c r="W71" s="243"/>
      <c r="X71" s="243"/>
    </row>
    <row r="72" ht="12.75" customHeight="1">
      <c r="A72" s="74"/>
      <c r="G72" s="75"/>
      <c r="U72" s="243"/>
      <c r="V72" s="243"/>
      <c r="W72" s="243"/>
      <c r="X72" s="243"/>
    </row>
    <row r="73" ht="12.75" customHeight="1">
      <c r="A73" s="74"/>
      <c r="G73" s="75"/>
      <c r="U73" s="243"/>
      <c r="V73" s="243"/>
      <c r="W73" s="243"/>
      <c r="X73" s="243"/>
    </row>
    <row r="74" ht="12.75" customHeight="1">
      <c r="A74" s="74"/>
      <c r="G74" s="75"/>
      <c r="U74" s="243"/>
      <c r="V74" s="243"/>
      <c r="W74" s="243"/>
      <c r="X74" s="243"/>
    </row>
    <row r="75" ht="12.75" customHeight="1">
      <c r="A75" s="74"/>
      <c r="G75" s="75"/>
      <c r="U75" s="243"/>
      <c r="V75" s="243"/>
      <c r="W75" s="243"/>
      <c r="X75" s="243"/>
    </row>
    <row r="76" ht="12.75" customHeight="1">
      <c r="A76" s="74"/>
      <c r="G76" s="75"/>
      <c r="U76" s="243"/>
      <c r="V76" s="243"/>
      <c r="W76" s="243"/>
      <c r="X76" s="243"/>
    </row>
    <row r="77" ht="12.75" customHeight="1">
      <c r="A77" s="74"/>
      <c r="G77" s="75"/>
      <c r="U77" s="243"/>
      <c r="V77" s="243"/>
      <c r="W77" s="243"/>
      <c r="X77" s="243"/>
    </row>
    <row r="78" ht="12.75" customHeight="1">
      <c r="A78" s="74"/>
      <c r="G78" s="75"/>
      <c r="U78" s="243"/>
      <c r="V78" s="243"/>
      <c r="W78" s="243"/>
      <c r="X78" s="243"/>
    </row>
    <row r="79" ht="12.75" customHeight="1">
      <c r="A79" s="74"/>
      <c r="G79" s="75"/>
      <c r="U79" s="243"/>
      <c r="V79" s="243"/>
      <c r="W79" s="243"/>
      <c r="X79" s="243"/>
    </row>
    <row r="80" ht="12.75" customHeight="1">
      <c r="A80" s="74"/>
      <c r="G80" s="75"/>
      <c r="U80" s="243"/>
      <c r="V80" s="243"/>
      <c r="W80" s="243"/>
      <c r="X80" s="243"/>
    </row>
    <row r="81" ht="12.75" customHeight="1">
      <c r="A81" s="74"/>
      <c r="G81" s="75"/>
      <c r="U81" s="243"/>
      <c r="V81" s="243"/>
      <c r="W81" s="243"/>
      <c r="X81" s="243"/>
    </row>
    <row r="82" ht="12.75" customHeight="1">
      <c r="A82" s="74"/>
      <c r="G82" s="75"/>
      <c r="U82" s="243"/>
      <c r="V82" s="243"/>
      <c r="W82" s="243"/>
      <c r="X82" s="243"/>
    </row>
    <row r="83" ht="12.75" customHeight="1">
      <c r="A83" s="74"/>
      <c r="G83" s="75"/>
      <c r="U83" s="243"/>
      <c r="V83" s="243"/>
      <c r="W83" s="243"/>
      <c r="X83" s="243"/>
    </row>
    <row r="84" ht="12.75" customHeight="1">
      <c r="A84" s="74"/>
      <c r="G84" s="75"/>
      <c r="U84" s="243"/>
      <c r="V84" s="243"/>
      <c r="W84" s="243"/>
      <c r="X84" s="243"/>
    </row>
    <row r="85" ht="12.75" customHeight="1">
      <c r="A85" s="74"/>
      <c r="G85" s="75"/>
      <c r="U85" s="243"/>
      <c r="V85" s="243"/>
      <c r="W85" s="243"/>
      <c r="X85" s="243"/>
    </row>
    <row r="86" ht="12.75" customHeight="1">
      <c r="A86" s="74"/>
      <c r="G86" s="75"/>
      <c r="U86" s="243"/>
      <c r="V86" s="243"/>
      <c r="W86" s="243"/>
      <c r="X86" s="243"/>
    </row>
    <row r="87" ht="12.75" customHeight="1">
      <c r="A87" s="74"/>
      <c r="G87" s="75"/>
      <c r="U87" s="243"/>
      <c r="V87" s="243"/>
      <c r="W87" s="243"/>
      <c r="X87" s="243"/>
    </row>
    <row r="88" ht="12.75" customHeight="1">
      <c r="A88" s="74"/>
      <c r="G88" s="75"/>
      <c r="U88" s="243"/>
      <c r="V88" s="243"/>
      <c r="W88" s="243"/>
      <c r="X88" s="243"/>
    </row>
    <row r="89" ht="12.75" customHeight="1">
      <c r="A89" s="74"/>
      <c r="G89" s="75"/>
      <c r="U89" s="243"/>
      <c r="V89" s="243"/>
      <c r="W89" s="243"/>
      <c r="X89" s="243"/>
    </row>
    <row r="90" ht="12.75" customHeight="1">
      <c r="A90" s="74"/>
      <c r="G90" s="75"/>
      <c r="U90" s="243"/>
      <c r="V90" s="243"/>
      <c r="W90" s="243"/>
      <c r="X90" s="243"/>
    </row>
    <row r="91" ht="12.75" customHeight="1">
      <c r="A91" s="74"/>
      <c r="G91" s="75"/>
      <c r="U91" s="243"/>
      <c r="V91" s="243"/>
      <c r="W91" s="243"/>
      <c r="X91" s="243"/>
    </row>
    <row r="92" ht="12.75" customHeight="1">
      <c r="A92" s="74"/>
      <c r="G92" s="75"/>
      <c r="U92" s="243"/>
      <c r="V92" s="243"/>
      <c r="W92" s="243"/>
      <c r="X92" s="243"/>
    </row>
    <row r="93" ht="12.75" customHeight="1">
      <c r="A93" s="74"/>
      <c r="G93" s="75"/>
      <c r="U93" s="243"/>
      <c r="V93" s="243"/>
      <c r="W93" s="243"/>
      <c r="X93" s="243"/>
    </row>
    <row r="94" ht="12.75" customHeight="1">
      <c r="A94" s="74"/>
      <c r="G94" s="75"/>
      <c r="U94" s="243"/>
      <c r="V94" s="243"/>
      <c r="W94" s="243"/>
      <c r="X94" s="243"/>
    </row>
    <row r="95" ht="12.75" customHeight="1">
      <c r="A95" s="74"/>
      <c r="G95" s="75"/>
      <c r="U95" s="243"/>
      <c r="V95" s="243"/>
      <c r="W95" s="243"/>
      <c r="X95" s="243"/>
    </row>
    <row r="96" ht="12.75" customHeight="1">
      <c r="A96" s="74"/>
      <c r="G96" s="75"/>
      <c r="U96" s="243"/>
      <c r="V96" s="243"/>
      <c r="W96" s="243"/>
      <c r="X96" s="243"/>
    </row>
    <row r="97" ht="12.75" customHeight="1">
      <c r="A97" s="74"/>
      <c r="G97" s="75"/>
      <c r="U97" s="243"/>
      <c r="V97" s="243"/>
      <c r="W97" s="243"/>
      <c r="X97" s="243"/>
    </row>
    <row r="98" ht="12.75" customHeight="1">
      <c r="A98" s="74"/>
      <c r="G98" s="75"/>
      <c r="U98" s="243"/>
      <c r="V98" s="243"/>
      <c r="W98" s="243"/>
      <c r="X98" s="243"/>
    </row>
    <row r="99" ht="12.75" customHeight="1">
      <c r="A99" s="74"/>
      <c r="G99" s="75"/>
      <c r="U99" s="243"/>
      <c r="V99" s="243"/>
      <c r="W99" s="243"/>
      <c r="X99" s="243"/>
    </row>
    <row r="100" ht="12.75" customHeight="1">
      <c r="A100" s="74"/>
      <c r="G100" s="75"/>
      <c r="U100" s="243"/>
      <c r="V100" s="243"/>
      <c r="W100" s="243"/>
      <c r="X100" s="243"/>
    </row>
    <row r="101" ht="12.75" customHeight="1">
      <c r="A101" s="74"/>
      <c r="G101" s="75"/>
      <c r="U101" s="243"/>
      <c r="V101" s="243"/>
      <c r="W101" s="243"/>
      <c r="X101" s="243"/>
    </row>
    <row r="102" ht="12.75" customHeight="1">
      <c r="A102" s="74"/>
      <c r="G102" s="75"/>
      <c r="U102" s="243"/>
      <c r="V102" s="243"/>
      <c r="W102" s="243"/>
      <c r="X102" s="243"/>
    </row>
    <row r="103" ht="12.75" customHeight="1">
      <c r="A103" s="74"/>
      <c r="G103" s="75"/>
      <c r="U103" s="243"/>
      <c r="V103" s="243"/>
      <c r="W103" s="243"/>
      <c r="X103" s="243"/>
    </row>
    <row r="104" ht="12.75" customHeight="1">
      <c r="A104" s="74"/>
      <c r="G104" s="75"/>
      <c r="U104" s="243"/>
      <c r="V104" s="243"/>
      <c r="W104" s="243"/>
      <c r="X104" s="243"/>
    </row>
    <row r="105" ht="12.75" customHeight="1">
      <c r="A105" s="74"/>
      <c r="G105" s="75"/>
      <c r="U105" s="243"/>
      <c r="V105" s="243"/>
      <c r="W105" s="243"/>
      <c r="X105" s="243"/>
    </row>
    <row r="106" ht="12.75" customHeight="1">
      <c r="A106" s="74"/>
      <c r="G106" s="75"/>
      <c r="U106" s="243"/>
      <c r="V106" s="243"/>
      <c r="W106" s="243"/>
      <c r="X106" s="243"/>
    </row>
    <row r="107" ht="12.75" customHeight="1">
      <c r="A107" s="74"/>
      <c r="G107" s="75"/>
      <c r="U107" s="243"/>
      <c r="V107" s="243"/>
      <c r="W107" s="243"/>
      <c r="X107" s="243"/>
    </row>
    <row r="108" ht="12.75" customHeight="1">
      <c r="A108" s="74"/>
      <c r="G108" s="75"/>
      <c r="U108" s="243"/>
      <c r="V108" s="243"/>
      <c r="W108" s="243"/>
      <c r="X108" s="243"/>
    </row>
    <row r="109" ht="12.75" customHeight="1">
      <c r="A109" s="74"/>
      <c r="G109" s="75"/>
      <c r="U109" s="243"/>
      <c r="V109" s="243"/>
      <c r="W109" s="243"/>
      <c r="X109" s="243"/>
    </row>
    <row r="110" ht="12.75" customHeight="1">
      <c r="A110" s="74"/>
      <c r="G110" s="75"/>
      <c r="U110" s="243"/>
      <c r="V110" s="243"/>
      <c r="W110" s="243"/>
      <c r="X110" s="243"/>
    </row>
    <row r="111" ht="12.75" customHeight="1">
      <c r="A111" s="74"/>
      <c r="G111" s="75"/>
      <c r="U111" s="243"/>
      <c r="V111" s="243"/>
      <c r="W111" s="243"/>
      <c r="X111" s="243"/>
    </row>
    <row r="112" ht="12.75" customHeight="1">
      <c r="A112" s="74"/>
      <c r="G112" s="75"/>
      <c r="U112" s="243"/>
      <c r="V112" s="243"/>
      <c r="W112" s="243"/>
      <c r="X112" s="243"/>
    </row>
    <row r="113" ht="12.75" customHeight="1">
      <c r="A113" s="74"/>
      <c r="G113" s="75"/>
      <c r="U113" s="243"/>
      <c r="V113" s="243"/>
      <c r="W113" s="243"/>
      <c r="X113" s="243"/>
    </row>
    <row r="114" ht="12.75" customHeight="1">
      <c r="A114" s="74"/>
      <c r="G114" s="75"/>
      <c r="U114" s="243"/>
      <c r="V114" s="243"/>
      <c r="W114" s="243"/>
      <c r="X114" s="243"/>
    </row>
    <row r="115" ht="12.75" customHeight="1">
      <c r="A115" s="74"/>
      <c r="G115" s="75"/>
      <c r="U115" s="243"/>
      <c r="V115" s="243"/>
      <c r="W115" s="243"/>
      <c r="X115" s="243"/>
    </row>
    <row r="116" ht="12.75" customHeight="1">
      <c r="A116" s="74"/>
      <c r="G116" s="75"/>
      <c r="U116" s="243"/>
      <c r="V116" s="243"/>
      <c r="W116" s="243"/>
      <c r="X116" s="243"/>
    </row>
    <row r="117" ht="12.75" customHeight="1">
      <c r="A117" s="74"/>
      <c r="G117" s="75"/>
      <c r="U117" s="243"/>
      <c r="V117" s="243"/>
      <c r="W117" s="243"/>
      <c r="X117" s="243"/>
    </row>
    <row r="118" ht="12.75" customHeight="1">
      <c r="A118" s="74"/>
      <c r="G118" s="75"/>
      <c r="U118" s="243"/>
      <c r="V118" s="243"/>
      <c r="W118" s="243"/>
      <c r="X118" s="243"/>
    </row>
    <row r="119" ht="12.75" customHeight="1">
      <c r="A119" s="74"/>
      <c r="G119" s="75"/>
      <c r="U119" s="243"/>
      <c r="V119" s="243"/>
      <c r="W119" s="243"/>
      <c r="X119" s="243"/>
    </row>
    <row r="120" ht="12.75" customHeight="1">
      <c r="A120" s="74"/>
      <c r="G120" s="75"/>
      <c r="U120" s="243"/>
      <c r="V120" s="243"/>
      <c r="W120" s="243"/>
      <c r="X120" s="243"/>
    </row>
    <row r="121" ht="12.75" customHeight="1">
      <c r="A121" s="74"/>
      <c r="G121" s="75"/>
      <c r="U121" s="243"/>
      <c r="V121" s="243"/>
      <c r="W121" s="243"/>
      <c r="X121" s="243"/>
    </row>
    <row r="122" ht="12.75" customHeight="1">
      <c r="A122" s="74"/>
      <c r="G122" s="75"/>
      <c r="U122" s="243"/>
      <c r="V122" s="243"/>
      <c r="W122" s="243"/>
      <c r="X122" s="243"/>
    </row>
    <row r="123" ht="12.75" customHeight="1">
      <c r="A123" s="74"/>
      <c r="G123" s="75"/>
      <c r="U123" s="243"/>
      <c r="V123" s="243"/>
      <c r="W123" s="243"/>
      <c r="X123" s="243"/>
    </row>
    <row r="124" ht="12.75" customHeight="1">
      <c r="A124" s="74"/>
      <c r="G124" s="75"/>
      <c r="U124" s="243"/>
      <c r="V124" s="243"/>
      <c r="W124" s="243"/>
      <c r="X124" s="243"/>
    </row>
    <row r="125" ht="12.75" customHeight="1">
      <c r="A125" s="74"/>
      <c r="G125" s="75"/>
      <c r="U125" s="243"/>
      <c r="V125" s="243"/>
      <c r="W125" s="243"/>
      <c r="X125" s="243"/>
    </row>
    <row r="126" ht="12.75" customHeight="1">
      <c r="A126" s="74"/>
      <c r="G126" s="75"/>
      <c r="U126" s="243"/>
      <c r="V126" s="243"/>
      <c r="W126" s="243"/>
      <c r="X126" s="243"/>
    </row>
    <row r="127" ht="12.75" customHeight="1">
      <c r="A127" s="74"/>
      <c r="G127" s="75"/>
      <c r="U127" s="243"/>
      <c r="V127" s="243"/>
      <c r="W127" s="243"/>
      <c r="X127" s="243"/>
    </row>
    <row r="128" ht="12.75" customHeight="1">
      <c r="A128" s="74"/>
      <c r="G128" s="75"/>
      <c r="U128" s="243"/>
      <c r="V128" s="243"/>
      <c r="W128" s="243"/>
      <c r="X128" s="243"/>
    </row>
    <row r="129" ht="12.75" customHeight="1">
      <c r="A129" s="74"/>
      <c r="G129" s="75"/>
      <c r="U129" s="243"/>
      <c r="V129" s="243"/>
      <c r="W129" s="243"/>
      <c r="X129" s="243"/>
    </row>
    <row r="130" ht="12.75" customHeight="1">
      <c r="A130" s="74"/>
      <c r="G130" s="75"/>
      <c r="U130" s="243"/>
      <c r="V130" s="243"/>
      <c r="W130" s="243"/>
      <c r="X130" s="243"/>
    </row>
    <row r="131" ht="12.75" customHeight="1">
      <c r="A131" s="74"/>
      <c r="G131" s="75"/>
      <c r="U131" s="243"/>
      <c r="V131" s="243"/>
      <c r="W131" s="243"/>
      <c r="X131" s="243"/>
    </row>
    <row r="132" ht="12.75" customHeight="1">
      <c r="A132" s="74"/>
      <c r="G132" s="75"/>
      <c r="U132" s="243"/>
      <c r="V132" s="243"/>
      <c r="W132" s="243"/>
      <c r="X132" s="243"/>
    </row>
    <row r="133" ht="12.75" customHeight="1">
      <c r="A133" s="74"/>
      <c r="G133" s="75"/>
      <c r="U133" s="243"/>
      <c r="V133" s="243"/>
      <c r="W133" s="243"/>
      <c r="X133" s="243"/>
    </row>
    <row r="134" ht="12.75" customHeight="1">
      <c r="A134" s="74"/>
      <c r="G134" s="75"/>
      <c r="U134" s="243"/>
      <c r="V134" s="243"/>
      <c r="W134" s="243"/>
      <c r="X134" s="243"/>
    </row>
    <row r="135" ht="12.75" customHeight="1">
      <c r="A135" s="74"/>
      <c r="G135" s="75"/>
      <c r="U135" s="243"/>
      <c r="V135" s="243"/>
      <c r="W135" s="243"/>
      <c r="X135" s="243"/>
    </row>
    <row r="136" ht="12.75" customHeight="1">
      <c r="A136" s="74"/>
      <c r="G136" s="75"/>
      <c r="U136" s="243"/>
      <c r="V136" s="243"/>
      <c r="W136" s="243"/>
      <c r="X136" s="243"/>
    </row>
    <row r="137" ht="12.75" customHeight="1">
      <c r="A137" s="74"/>
      <c r="G137" s="75"/>
      <c r="U137" s="243"/>
      <c r="V137" s="243"/>
      <c r="W137" s="243"/>
      <c r="X137" s="243"/>
    </row>
    <row r="138" ht="12.75" customHeight="1">
      <c r="A138" s="74"/>
      <c r="G138" s="75"/>
      <c r="U138" s="243"/>
      <c r="V138" s="243"/>
      <c r="W138" s="243"/>
      <c r="X138" s="243"/>
    </row>
    <row r="139" ht="12.75" customHeight="1">
      <c r="A139" s="74"/>
      <c r="G139" s="75"/>
      <c r="U139" s="243"/>
      <c r="V139" s="243"/>
      <c r="W139" s="243"/>
      <c r="X139" s="243"/>
    </row>
    <row r="140" ht="12.75" customHeight="1">
      <c r="A140" s="74"/>
      <c r="G140" s="75"/>
      <c r="U140" s="243"/>
      <c r="V140" s="243"/>
      <c r="W140" s="243"/>
      <c r="X140" s="243"/>
    </row>
    <row r="141" ht="12.75" customHeight="1">
      <c r="A141" s="74"/>
      <c r="G141" s="75"/>
      <c r="U141" s="243"/>
      <c r="V141" s="243"/>
      <c r="W141" s="243"/>
      <c r="X141" s="243"/>
    </row>
    <row r="142" ht="12.75" customHeight="1">
      <c r="A142" s="74"/>
      <c r="G142" s="75"/>
      <c r="U142" s="243"/>
      <c r="V142" s="243"/>
      <c r="W142" s="243"/>
      <c r="X142" s="243"/>
    </row>
    <row r="143" ht="12.75" customHeight="1">
      <c r="A143" s="74"/>
      <c r="G143" s="75"/>
      <c r="U143" s="243"/>
      <c r="V143" s="243"/>
      <c r="W143" s="243"/>
      <c r="X143" s="243"/>
    </row>
    <row r="144" ht="12.75" customHeight="1">
      <c r="A144" s="74"/>
      <c r="G144" s="75"/>
      <c r="U144" s="243"/>
      <c r="V144" s="243"/>
      <c r="W144" s="243"/>
      <c r="X144" s="243"/>
    </row>
    <row r="145" ht="12.75" customHeight="1">
      <c r="A145" s="74"/>
      <c r="G145" s="75"/>
      <c r="U145" s="243"/>
      <c r="V145" s="243"/>
      <c r="W145" s="243"/>
      <c r="X145" s="243"/>
    </row>
    <row r="146" ht="12.75" customHeight="1">
      <c r="A146" s="74"/>
      <c r="G146" s="75"/>
      <c r="U146" s="243"/>
      <c r="V146" s="243"/>
      <c r="W146" s="243"/>
      <c r="X146" s="243"/>
    </row>
    <row r="147" ht="12.75" customHeight="1">
      <c r="A147" s="74"/>
      <c r="G147" s="75"/>
      <c r="U147" s="243"/>
      <c r="V147" s="243"/>
      <c r="W147" s="243"/>
      <c r="X147" s="243"/>
    </row>
    <row r="148" ht="12.75" customHeight="1">
      <c r="A148" s="74"/>
      <c r="G148" s="75"/>
      <c r="U148" s="243"/>
      <c r="V148" s="243"/>
      <c r="W148" s="243"/>
      <c r="X148" s="243"/>
    </row>
    <row r="149" ht="12.75" customHeight="1">
      <c r="A149" s="74"/>
      <c r="G149" s="75"/>
      <c r="U149" s="243"/>
      <c r="V149" s="243"/>
      <c r="W149" s="243"/>
      <c r="X149" s="243"/>
    </row>
    <row r="150" ht="12.75" customHeight="1">
      <c r="A150" s="74"/>
      <c r="G150" s="75"/>
      <c r="U150" s="243"/>
      <c r="V150" s="243"/>
      <c r="W150" s="243"/>
      <c r="X150" s="243"/>
    </row>
    <row r="151" ht="12.75" customHeight="1">
      <c r="A151" s="74"/>
      <c r="G151" s="75"/>
      <c r="U151" s="243"/>
      <c r="V151" s="243"/>
      <c r="W151" s="243"/>
      <c r="X151" s="243"/>
    </row>
    <row r="152" ht="12.75" customHeight="1">
      <c r="A152" s="74"/>
      <c r="G152" s="75"/>
      <c r="U152" s="243"/>
      <c r="V152" s="243"/>
      <c r="W152" s="243"/>
      <c r="X152" s="243"/>
    </row>
    <row r="153" ht="12.75" customHeight="1">
      <c r="A153" s="74"/>
      <c r="G153" s="75"/>
      <c r="U153" s="243"/>
      <c r="V153" s="243"/>
      <c r="W153" s="243"/>
      <c r="X153" s="243"/>
    </row>
    <row r="154" ht="12.75" customHeight="1">
      <c r="A154" s="74"/>
      <c r="G154" s="75"/>
      <c r="U154" s="243"/>
      <c r="V154" s="243"/>
      <c r="W154" s="243"/>
      <c r="X154" s="243"/>
    </row>
    <row r="155" ht="12.75" customHeight="1">
      <c r="A155" s="74"/>
      <c r="G155" s="75"/>
      <c r="U155" s="243"/>
      <c r="V155" s="243"/>
      <c r="W155" s="243"/>
      <c r="X155" s="243"/>
    </row>
    <row r="156" ht="12.75" customHeight="1">
      <c r="A156" s="74"/>
      <c r="G156" s="75"/>
      <c r="U156" s="243"/>
      <c r="V156" s="243"/>
      <c r="W156" s="243"/>
      <c r="X156" s="243"/>
    </row>
    <row r="157" ht="12.75" customHeight="1">
      <c r="A157" s="74"/>
      <c r="G157" s="75"/>
      <c r="U157" s="243"/>
      <c r="V157" s="243"/>
      <c r="W157" s="243"/>
      <c r="X157" s="243"/>
    </row>
    <row r="158" ht="12.75" customHeight="1">
      <c r="A158" s="74"/>
      <c r="G158" s="75"/>
      <c r="U158" s="243"/>
      <c r="V158" s="243"/>
      <c r="W158" s="243"/>
      <c r="X158" s="243"/>
    </row>
    <row r="159" ht="12.75" customHeight="1">
      <c r="A159" s="74"/>
      <c r="G159" s="75"/>
      <c r="U159" s="243"/>
      <c r="V159" s="243"/>
      <c r="W159" s="243"/>
      <c r="X159" s="243"/>
    </row>
    <row r="160" ht="12.75" customHeight="1">
      <c r="A160" s="74"/>
      <c r="G160" s="75"/>
      <c r="U160" s="243"/>
      <c r="V160" s="243"/>
      <c r="W160" s="243"/>
      <c r="X160" s="243"/>
    </row>
    <row r="161" ht="12.75" customHeight="1">
      <c r="A161" s="74"/>
      <c r="G161" s="75"/>
      <c r="U161" s="243"/>
      <c r="V161" s="243"/>
      <c r="W161" s="243"/>
      <c r="X161" s="243"/>
    </row>
    <row r="162" ht="12.75" customHeight="1">
      <c r="A162" s="74"/>
      <c r="G162" s="75"/>
      <c r="U162" s="243"/>
      <c r="V162" s="243"/>
      <c r="W162" s="243"/>
      <c r="X162" s="243"/>
    </row>
    <row r="163" ht="12.75" customHeight="1">
      <c r="A163" s="74"/>
      <c r="G163" s="75"/>
      <c r="U163" s="243"/>
      <c r="V163" s="243"/>
      <c r="W163" s="243"/>
      <c r="X163" s="243"/>
    </row>
    <row r="164" ht="12.75" customHeight="1">
      <c r="A164" s="74"/>
      <c r="G164" s="75"/>
      <c r="U164" s="243"/>
      <c r="V164" s="243"/>
      <c r="W164" s="243"/>
      <c r="X164" s="243"/>
    </row>
    <row r="165" ht="12.75" customHeight="1">
      <c r="A165" s="74"/>
      <c r="G165" s="75"/>
      <c r="U165" s="243"/>
      <c r="V165" s="243"/>
      <c r="W165" s="243"/>
      <c r="X165" s="243"/>
    </row>
    <row r="166" ht="12.75" customHeight="1">
      <c r="A166" s="74"/>
      <c r="G166" s="75"/>
      <c r="U166" s="243"/>
      <c r="V166" s="243"/>
      <c r="W166" s="243"/>
      <c r="X166" s="243"/>
    </row>
    <row r="167" ht="12.75" customHeight="1">
      <c r="A167" s="74"/>
      <c r="G167" s="75"/>
      <c r="U167" s="243"/>
      <c r="V167" s="243"/>
      <c r="W167" s="243"/>
      <c r="X167" s="243"/>
    </row>
    <row r="168" ht="12.75" customHeight="1">
      <c r="A168" s="74"/>
      <c r="G168" s="75"/>
      <c r="U168" s="243"/>
      <c r="V168" s="243"/>
      <c r="W168" s="243"/>
      <c r="X168" s="243"/>
    </row>
    <row r="169" ht="12.75" customHeight="1">
      <c r="A169" s="74"/>
      <c r="G169" s="75"/>
      <c r="U169" s="243"/>
      <c r="V169" s="243"/>
      <c r="W169" s="243"/>
      <c r="X169" s="243"/>
    </row>
    <row r="170" ht="12.75" customHeight="1">
      <c r="A170" s="74"/>
      <c r="G170" s="75"/>
      <c r="U170" s="243"/>
      <c r="V170" s="243"/>
      <c r="W170" s="243"/>
      <c r="X170" s="243"/>
    </row>
    <row r="171" ht="12.75" customHeight="1">
      <c r="A171" s="74"/>
      <c r="G171" s="75"/>
      <c r="U171" s="243"/>
      <c r="V171" s="243"/>
      <c r="W171" s="243"/>
      <c r="X171" s="243"/>
    </row>
    <row r="172" ht="12.75" customHeight="1">
      <c r="A172" s="74"/>
      <c r="G172" s="75"/>
      <c r="U172" s="243"/>
      <c r="V172" s="243"/>
      <c r="W172" s="243"/>
      <c r="X172" s="243"/>
    </row>
    <row r="173" ht="12.75" customHeight="1">
      <c r="A173" s="74"/>
      <c r="G173" s="75"/>
      <c r="U173" s="243"/>
      <c r="V173" s="243"/>
      <c r="W173" s="243"/>
      <c r="X173" s="243"/>
    </row>
    <row r="174" ht="12.75" customHeight="1">
      <c r="A174" s="74"/>
      <c r="G174" s="75"/>
      <c r="U174" s="243"/>
      <c r="V174" s="243"/>
      <c r="W174" s="243"/>
      <c r="X174" s="243"/>
    </row>
    <row r="175" ht="12.75" customHeight="1">
      <c r="A175" s="74"/>
      <c r="G175" s="75"/>
      <c r="U175" s="243"/>
      <c r="V175" s="243"/>
      <c r="W175" s="243"/>
      <c r="X175" s="243"/>
    </row>
    <row r="176" ht="12.75" customHeight="1">
      <c r="A176" s="74"/>
      <c r="G176" s="75"/>
      <c r="U176" s="243"/>
      <c r="V176" s="243"/>
      <c r="W176" s="243"/>
      <c r="X176" s="243"/>
    </row>
    <row r="177" ht="12.75" customHeight="1">
      <c r="A177" s="74"/>
      <c r="G177" s="75"/>
      <c r="U177" s="243"/>
      <c r="V177" s="243"/>
      <c r="W177" s="243"/>
      <c r="X177" s="243"/>
    </row>
    <row r="178" ht="12.75" customHeight="1">
      <c r="A178" s="74"/>
      <c r="G178" s="75"/>
      <c r="U178" s="243"/>
      <c r="V178" s="243"/>
      <c r="W178" s="243"/>
      <c r="X178" s="243"/>
    </row>
    <row r="179" ht="12.75" customHeight="1">
      <c r="A179" s="74"/>
      <c r="G179" s="75"/>
      <c r="U179" s="243"/>
      <c r="V179" s="243"/>
      <c r="W179" s="243"/>
      <c r="X179" s="243"/>
    </row>
    <row r="180" ht="12.75" customHeight="1">
      <c r="A180" s="74"/>
      <c r="G180" s="75"/>
      <c r="U180" s="243"/>
      <c r="V180" s="243"/>
      <c r="W180" s="243"/>
      <c r="X180" s="243"/>
    </row>
    <row r="181" ht="12.75" customHeight="1">
      <c r="A181" s="74"/>
      <c r="G181" s="75"/>
      <c r="U181" s="243"/>
      <c r="V181" s="243"/>
      <c r="W181" s="243"/>
      <c r="X181" s="243"/>
    </row>
    <row r="182" ht="12.75" customHeight="1">
      <c r="A182" s="74"/>
      <c r="G182" s="75"/>
      <c r="U182" s="243"/>
      <c r="V182" s="243"/>
      <c r="W182" s="243"/>
      <c r="X182" s="243"/>
    </row>
    <row r="183" ht="12.75" customHeight="1">
      <c r="A183" s="74"/>
      <c r="G183" s="75"/>
      <c r="U183" s="243"/>
      <c r="V183" s="243"/>
      <c r="W183" s="243"/>
      <c r="X183" s="243"/>
    </row>
    <row r="184" ht="12.75" customHeight="1">
      <c r="A184" s="74"/>
      <c r="G184" s="75"/>
      <c r="U184" s="243"/>
      <c r="V184" s="243"/>
      <c r="W184" s="243"/>
      <c r="X184" s="243"/>
    </row>
    <row r="185" ht="12.75" customHeight="1">
      <c r="A185" s="74"/>
      <c r="G185" s="75"/>
      <c r="U185" s="243"/>
      <c r="V185" s="243"/>
      <c r="W185" s="243"/>
      <c r="X185" s="243"/>
    </row>
    <row r="186" ht="12.75" customHeight="1">
      <c r="A186" s="74"/>
      <c r="G186" s="75"/>
      <c r="U186" s="243"/>
      <c r="V186" s="243"/>
      <c r="W186" s="243"/>
      <c r="X186" s="243"/>
    </row>
    <row r="187" ht="12.75" customHeight="1">
      <c r="A187" s="74"/>
      <c r="G187" s="75"/>
      <c r="U187" s="243"/>
      <c r="V187" s="243"/>
      <c r="W187" s="243"/>
      <c r="X187" s="243"/>
    </row>
    <row r="188" ht="12.75" customHeight="1">
      <c r="A188" s="74"/>
      <c r="G188" s="75"/>
      <c r="U188" s="243"/>
      <c r="V188" s="243"/>
      <c r="W188" s="243"/>
      <c r="X188" s="243"/>
    </row>
    <row r="189" ht="12.75" customHeight="1">
      <c r="A189" s="74"/>
      <c r="G189" s="75"/>
      <c r="U189" s="243"/>
      <c r="V189" s="243"/>
      <c r="W189" s="243"/>
      <c r="X189" s="243"/>
    </row>
    <row r="190" ht="12.75" customHeight="1">
      <c r="A190" s="74"/>
      <c r="G190" s="75"/>
      <c r="U190" s="243"/>
      <c r="V190" s="243"/>
      <c r="W190" s="243"/>
      <c r="X190" s="243"/>
    </row>
    <row r="191" ht="12.75" customHeight="1">
      <c r="A191" s="74"/>
      <c r="G191" s="75"/>
      <c r="U191" s="243"/>
      <c r="V191" s="243"/>
      <c r="W191" s="243"/>
      <c r="X191" s="243"/>
    </row>
    <row r="192" ht="12.75" customHeight="1">
      <c r="A192" s="74"/>
      <c r="G192" s="75"/>
      <c r="U192" s="243"/>
      <c r="V192" s="243"/>
      <c r="W192" s="243"/>
      <c r="X192" s="243"/>
    </row>
    <row r="193" ht="12.75" customHeight="1">
      <c r="A193" s="74"/>
      <c r="G193" s="75"/>
      <c r="U193" s="243"/>
      <c r="V193" s="243"/>
      <c r="W193" s="243"/>
      <c r="X193" s="243"/>
    </row>
    <row r="194" ht="12.75" customHeight="1">
      <c r="A194" s="74"/>
      <c r="G194" s="75"/>
      <c r="U194" s="243"/>
      <c r="V194" s="243"/>
      <c r="W194" s="243"/>
      <c r="X194" s="243"/>
    </row>
    <row r="195" ht="12.75" customHeight="1">
      <c r="A195" s="74"/>
      <c r="G195" s="75"/>
      <c r="U195" s="243"/>
      <c r="V195" s="243"/>
      <c r="W195" s="243"/>
      <c r="X195" s="243"/>
    </row>
    <row r="196" ht="12.75" customHeight="1">
      <c r="A196" s="74"/>
      <c r="G196" s="75"/>
      <c r="U196" s="243"/>
      <c r="V196" s="243"/>
      <c r="W196" s="243"/>
      <c r="X196" s="243"/>
    </row>
    <row r="197" ht="12.75" customHeight="1">
      <c r="A197" s="74"/>
      <c r="G197" s="75"/>
      <c r="U197" s="243"/>
      <c r="V197" s="243"/>
      <c r="W197" s="243"/>
      <c r="X197" s="243"/>
    </row>
    <row r="198" ht="12.75" customHeight="1">
      <c r="A198" s="74"/>
      <c r="G198" s="75"/>
      <c r="U198" s="243"/>
      <c r="V198" s="243"/>
      <c r="W198" s="243"/>
      <c r="X198" s="243"/>
    </row>
    <row r="199" ht="12.75" customHeight="1">
      <c r="A199" s="74"/>
      <c r="G199" s="75"/>
      <c r="U199" s="243"/>
      <c r="V199" s="243"/>
      <c r="W199" s="243"/>
      <c r="X199" s="243"/>
    </row>
    <row r="200" ht="12.75" customHeight="1">
      <c r="A200" s="74"/>
      <c r="G200" s="75"/>
      <c r="U200" s="243"/>
      <c r="V200" s="243"/>
      <c r="W200" s="243"/>
      <c r="X200" s="243"/>
    </row>
    <row r="201" ht="12.75" customHeight="1">
      <c r="A201" s="74"/>
      <c r="G201" s="75"/>
      <c r="U201" s="243"/>
      <c r="V201" s="243"/>
      <c r="W201" s="243"/>
      <c r="X201" s="243"/>
    </row>
    <row r="202" ht="12.75" customHeight="1">
      <c r="A202" s="74"/>
      <c r="G202" s="75"/>
      <c r="U202" s="243"/>
      <c r="V202" s="243"/>
      <c r="W202" s="243"/>
      <c r="X202" s="243"/>
    </row>
    <row r="203" ht="12.75" customHeight="1">
      <c r="A203" s="74"/>
      <c r="G203" s="75"/>
      <c r="U203" s="243"/>
      <c r="V203" s="243"/>
      <c r="W203" s="243"/>
      <c r="X203" s="243"/>
    </row>
    <row r="204" ht="12.75" customHeight="1">
      <c r="A204" s="74"/>
      <c r="G204" s="75"/>
      <c r="U204" s="243"/>
      <c r="V204" s="243"/>
      <c r="W204" s="243"/>
      <c r="X204" s="243"/>
    </row>
    <row r="205" ht="12.75" customHeight="1">
      <c r="A205" s="74"/>
      <c r="G205" s="75"/>
      <c r="U205" s="243"/>
      <c r="V205" s="243"/>
      <c r="W205" s="243"/>
      <c r="X205" s="243"/>
    </row>
    <row r="206" ht="12.75" customHeight="1">
      <c r="A206" s="74"/>
      <c r="G206" s="75"/>
      <c r="U206" s="243"/>
      <c r="V206" s="243"/>
      <c r="W206" s="243"/>
      <c r="X206" s="243"/>
    </row>
    <row r="207" ht="12.75" customHeight="1">
      <c r="A207" s="74"/>
      <c r="G207" s="75"/>
      <c r="U207" s="243"/>
      <c r="V207" s="243"/>
      <c r="W207" s="243"/>
      <c r="X207" s="243"/>
    </row>
    <row r="208" ht="12.75" customHeight="1">
      <c r="A208" s="74"/>
      <c r="G208" s="75"/>
      <c r="U208" s="243"/>
      <c r="V208" s="243"/>
      <c r="W208" s="243"/>
      <c r="X208" s="243"/>
    </row>
    <row r="209" ht="12.75" customHeight="1">
      <c r="A209" s="74"/>
      <c r="G209" s="75"/>
      <c r="U209" s="243"/>
      <c r="V209" s="243"/>
      <c r="W209" s="243"/>
      <c r="X209" s="243"/>
    </row>
    <row r="210" ht="12.75" customHeight="1">
      <c r="A210" s="74"/>
      <c r="G210" s="75"/>
      <c r="U210" s="243"/>
      <c r="V210" s="243"/>
      <c r="W210" s="243"/>
      <c r="X210" s="243"/>
    </row>
    <row r="211" ht="12.75" customHeight="1">
      <c r="A211" s="74"/>
      <c r="G211" s="75"/>
      <c r="U211" s="243"/>
      <c r="V211" s="243"/>
      <c r="W211" s="243"/>
      <c r="X211" s="243"/>
    </row>
    <row r="212" ht="12.75" customHeight="1">
      <c r="A212" s="74"/>
      <c r="G212" s="75"/>
      <c r="U212" s="243"/>
      <c r="V212" s="243"/>
      <c r="W212" s="243"/>
      <c r="X212" s="243"/>
    </row>
    <row r="213" ht="12.75" customHeight="1">
      <c r="A213" s="74"/>
      <c r="G213" s="75"/>
      <c r="U213" s="243"/>
      <c r="V213" s="243"/>
      <c r="W213" s="243"/>
      <c r="X213" s="243"/>
    </row>
    <row r="214" ht="12.75" customHeight="1">
      <c r="A214" s="74"/>
      <c r="G214" s="75"/>
      <c r="U214" s="243"/>
      <c r="V214" s="243"/>
      <c r="W214" s="243"/>
      <c r="X214" s="243"/>
    </row>
    <row r="215" ht="12.75" customHeight="1">
      <c r="A215" s="74"/>
      <c r="G215" s="75"/>
      <c r="U215" s="243"/>
      <c r="V215" s="243"/>
      <c r="W215" s="243"/>
      <c r="X215" s="243"/>
    </row>
    <row r="216" ht="12.75" customHeight="1">
      <c r="A216" s="74"/>
      <c r="G216" s="75"/>
      <c r="U216" s="243"/>
      <c r="V216" s="243"/>
      <c r="W216" s="243"/>
      <c r="X216" s="243"/>
    </row>
    <row r="217" ht="12.75" customHeight="1">
      <c r="A217" s="74"/>
      <c r="G217" s="75"/>
      <c r="U217" s="243"/>
      <c r="V217" s="243"/>
      <c r="W217" s="243"/>
      <c r="X217" s="243"/>
    </row>
    <row r="218" ht="12.75" customHeight="1">
      <c r="A218" s="74"/>
      <c r="G218" s="75"/>
      <c r="U218" s="243"/>
      <c r="V218" s="243"/>
      <c r="W218" s="243"/>
      <c r="X218" s="243"/>
    </row>
    <row r="219" ht="12.75" customHeight="1">
      <c r="A219" s="74"/>
      <c r="G219" s="75"/>
      <c r="U219" s="243"/>
      <c r="V219" s="243"/>
      <c r="W219" s="243"/>
      <c r="X219" s="243"/>
    </row>
    <row r="220" ht="12.75" customHeight="1">
      <c r="A220" s="74"/>
      <c r="G220" s="75"/>
      <c r="U220" s="243"/>
      <c r="V220" s="243"/>
      <c r="W220" s="243"/>
      <c r="X220" s="243"/>
    </row>
    <row r="221" ht="12.75" customHeight="1">
      <c r="A221" s="74"/>
      <c r="G221" s="75"/>
      <c r="U221" s="243"/>
      <c r="V221" s="243"/>
      <c r="W221" s="243"/>
      <c r="X221" s="243"/>
    </row>
    <row r="222" ht="12.75" customHeight="1">
      <c r="A222" s="74"/>
      <c r="G222" s="75"/>
      <c r="U222" s="243"/>
      <c r="V222" s="243"/>
      <c r="W222" s="243"/>
      <c r="X222" s="243"/>
    </row>
    <row r="223" ht="12.75" customHeight="1">
      <c r="A223" s="74"/>
      <c r="G223" s="75"/>
      <c r="U223" s="243"/>
      <c r="V223" s="243"/>
      <c r="W223" s="243"/>
      <c r="X223" s="243"/>
    </row>
    <row r="224" ht="12.75" customHeight="1">
      <c r="A224" s="74"/>
      <c r="G224" s="75"/>
      <c r="U224" s="243"/>
      <c r="V224" s="243"/>
      <c r="W224" s="243"/>
      <c r="X224" s="243"/>
    </row>
    <row r="225" ht="12.75" customHeight="1">
      <c r="A225" s="74"/>
      <c r="G225" s="75"/>
      <c r="U225" s="243"/>
      <c r="V225" s="243"/>
      <c r="W225" s="243"/>
      <c r="X225" s="243"/>
    </row>
    <row r="226" ht="12.75" customHeight="1">
      <c r="A226" s="74"/>
      <c r="G226" s="75"/>
      <c r="U226" s="243"/>
      <c r="V226" s="243"/>
      <c r="W226" s="243"/>
      <c r="X226" s="243"/>
    </row>
    <row r="227" ht="12.75" customHeight="1">
      <c r="A227" s="74"/>
      <c r="G227" s="75"/>
      <c r="U227" s="243"/>
      <c r="V227" s="243"/>
      <c r="W227" s="243"/>
      <c r="X227" s="243"/>
    </row>
    <row r="228" ht="12.75" customHeight="1">
      <c r="A228" s="74"/>
      <c r="G228" s="75"/>
      <c r="U228" s="243"/>
      <c r="V228" s="243"/>
      <c r="W228" s="243"/>
      <c r="X228" s="243"/>
    </row>
    <row r="229" ht="12.75" customHeight="1">
      <c r="A229" s="74"/>
      <c r="G229" s="75"/>
      <c r="U229" s="243"/>
      <c r="V229" s="243"/>
      <c r="W229" s="243"/>
      <c r="X229" s="243"/>
    </row>
    <row r="230" ht="12.75" customHeight="1">
      <c r="A230" s="74"/>
      <c r="G230" s="75"/>
      <c r="U230" s="243"/>
      <c r="V230" s="243"/>
      <c r="W230" s="243"/>
      <c r="X230" s="243"/>
    </row>
    <row r="231" ht="12.75" customHeight="1">
      <c r="A231" s="74"/>
      <c r="G231" s="75"/>
      <c r="U231" s="243"/>
      <c r="V231" s="243"/>
      <c r="W231" s="243"/>
      <c r="X231" s="243"/>
    </row>
    <row r="232" ht="12.75" customHeight="1">
      <c r="A232" s="74"/>
      <c r="G232" s="75"/>
      <c r="U232" s="243"/>
      <c r="V232" s="243"/>
      <c r="W232" s="243"/>
      <c r="X232" s="243"/>
    </row>
    <row r="233" ht="12.75" customHeight="1">
      <c r="A233" s="74"/>
      <c r="G233" s="75"/>
      <c r="U233" s="243"/>
      <c r="V233" s="243"/>
      <c r="W233" s="243"/>
      <c r="X233" s="243"/>
    </row>
    <row r="234" ht="12.75" customHeight="1">
      <c r="A234" s="74"/>
      <c r="G234" s="75"/>
      <c r="U234" s="243"/>
      <c r="V234" s="243"/>
      <c r="W234" s="243"/>
      <c r="X234" s="243"/>
    </row>
    <row r="235" ht="12.75" customHeight="1">
      <c r="A235" s="74"/>
      <c r="G235" s="75"/>
      <c r="U235" s="243"/>
      <c r="V235" s="243"/>
      <c r="W235" s="243"/>
      <c r="X235" s="243"/>
    </row>
    <row r="236" ht="12.75" customHeight="1">
      <c r="A236" s="74"/>
      <c r="G236" s="75"/>
      <c r="U236" s="243"/>
      <c r="V236" s="243"/>
      <c r="W236" s="243"/>
      <c r="X236" s="243"/>
    </row>
    <row r="237" ht="12.75" customHeight="1">
      <c r="A237" s="74"/>
      <c r="G237" s="75"/>
      <c r="U237" s="243"/>
      <c r="V237" s="243"/>
      <c r="W237" s="243"/>
      <c r="X237" s="243"/>
    </row>
    <row r="238" ht="12.75" customHeight="1">
      <c r="A238" s="74"/>
      <c r="G238" s="75"/>
      <c r="U238" s="243"/>
      <c r="V238" s="243"/>
      <c r="W238" s="243"/>
      <c r="X238" s="243"/>
    </row>
    <row r="239" ht="12.75" customHeight="1">
      <c r="A239" s="74"/>
      <c r="G239" s="75"/>
      <c r="U239" s="243"/>
      <c r="V239" s="243"/>
      <c r="W239" s="243"/>
      <c r="X239" s="243"/>
    </row>
    <row r="240" ht="12.75" customHeight="1">
      <c r="A240" s="74"/>
      <c r="G240" s="75"/>
      <c r="U240" s="243"/>
      <c r="V240" s="243"/>
      <c r="W240" s="243"/>
      <c r="X240" s="243"/>
    </row>
    <row r="241" ht="12.75" customHeight="1">
      <c r="A241" s="74"/>
      <c r="G241" s="75"/>
      <c r="U241" s="243"/>
      <c r="V241" s="243"/>
      <c r="W241" s="243"/>
      <c r="X241" s="243"/>
    </row>
    <row r="242" ht="12.75" customHeight="1">
      <c r="A242" s="74"/>
      <c r="G242" s="75"/>
      <c r="U242" s="243"/>
      <c r="V242" s="243"/>
      <c r="W242" s="243"/>
      <c r="X242" s="243"/>
    </row>
    <row r="243" ht="12.75" customHeight="1">
      <c r="A243" s="74"/>
      <c r="G243" s="75"/>
      <c r="U243" s="243"/>
      <c r="V243" s="243"/>
      <c r="W243" s="243"/>
      <c r="X243" s="243"/>
    </row>
    <row r="244" ht="12.75" customHeight="1">
      <c r="A244" s="74"/>
      <c r="G244" s="75"/>
      <c r="U244" s="243"/>
      <c r="V244" s="243"/>
      <c r="W244" s="243"/>
      <c r="X244" s="243"/>
    </row>
    <row r="245" ht="12.75" customHeight="1">
      <c r="A245" s="74"/>
      <c r="G245" s="75"/>
      <c r="U245" s="243"/>
      <c r="V245" s="243"/>
      <c r="W245" s="243"/>
      <c r="X245" s="243"/>
    </row>
    <row r="246" ht="12.75" customHeight="1">
      <c r="A246" s="74"/>
      <c r="G246" s="75"/>
      <c r="U246" s="243"/>
      <c r="V246" s="243"/>
      <c r="W246" s="243"/>
      <c r="X246" s="243"/>
    </row>
    <row r="247" ht="12.75" customHeight="1">
      <c r="A247" s="74"/>
      <c r="G247" s="75"/>
      <c r="U247" s="243"/>
      <c r="V247" s="243"/>
      <c r="W247" s="243"/>
      <c r="X247" s="243"/>
    </row>
    <row r="248" ht="12.75" customHeight="1">
      <c r="A248" s="74"/>
      <c r="G248" s="75"/>
      <c r="U248" s="243"/>
      <c r="V248" s="243"/>
      <c r="W248" s="243"/>
      <c r="X248" s="243"/>
    </row>
    <row r="249" ht="12.75" customHeight="1">
      <c r="A249" s="74"/>
      <c r="G249" s="75"/>
      <c r="U249" s="243"/>
      <c r="V249" s="243"/>
      <c r="W249" s="243"/>
      <c r="X249" s="243"/>
    </row>
    <row r="250" ht="12.75" customHeight="1">
      <c r="A250" s="74"/>
      <c r="G250" s="75"/>
      <c r="U250" s="243"/>
      <c r="V250" s="243"/>
      <c r="W250" s="243"/>
      <c r="X250" s="243"/>
    </row>
    <row r="251" ht="12.75" customHeight="1">
      <c r="A251" s="74"/>
      <c r="G251" s="75"/>
      <c r="U251" s="243"/>
      <c r="V251" s="243"/>
      <c r="W251" s="243"/>
      <c r="X251" s="243"/>
    </row>
    <row r="252" ht="12.75" customHeight="1">
      <c r="A252" s="74"/>
      <c r="G252" s="75"/>
      <c r="U252" s="243"/>
      <c r="V252" s="243"/>
      <c r="W252" s="243"/>
      <c r="X252" s="243"/>
    </row>
    <row r="253" ht="12.75" customHeight="1">
      <c r="A253" s="74"/>
      <c r="G253" s="75"/>
      <c r="U253" s="243"/>
      <c r="V253" s="243"/>
      <c r="W253" s="243"/>
      <c r="X253" s="243"/>
    </row>
    <row r="254" ht="15.75" customHeight="1">
      <c r="G254" s="75"/>
    </row>
    <row r="255" ht="15.75" customHeight="1">
      <c r="G255" s="75"/>
    </row>
    <row r="256" ht="15.75" customHeight="1">
      <c r="G256" s="75"/>
    </row>
    <row r="257" ht="15.75" customHeight="1">
      <c r="G257" s="75"/>
    </row>
    <row r="258" ht="15.75" customHeight="1">
      <c r="G258" s="75"/>
    </row>
    <row r="259" ht="15.75" customHeight="1">
      <c r="G259" s="75"/>
    </row>
    <row r="260" ht="15.75" customHeight="1">
      <c r="G260" s="75"/>
    </row>
    <row r="261" ht="15.75" customHeight="1">
      <c r="G261" s="75"/>
    </row>
    <row r="262" ht="15.75" customHeight="1">
      <c r="G262" s="75"/>
    </row>
    <row r="263" ht="15.75" customHeight="1">
      <c r="G263" s="75"/>
    </row>
    <row r="264" ht="15.75" customHeight="1">
      <c r="G264" s="75"/>
    </row>
    <row r="265" ht="15.75" customHeight="1">
      <c r="G265" s="75"/>
    </row>
    <row r="266" ht="15.75" customHeight="1">
      <c r="G266" s="75"/>
    </row>
    <row r="267" ht="15.75" customHeight="1">
      <c r="G267" s="75"/>
    </row>
    <row r="268" ht="15.75" customHeight="1">
      <c r="G268" s="75"/>
    </row>
    <row r="269" ht="15.75" customHeight="1">
      <c r="G269" s="75"/>
    </row>
    <row r="270" ht="15.75" customHeight="1">
      <c r="G270" s="75"/>
    </row>
    <row r="271" ht="15.75" customHeight="1">
      <c r="G271" s="75"/>
    </row>
    <row r="272" ht="15.75" customHeight="1">
      <c r="G272" s="75"/>
    </row>
    <row r="273" ht="15.75" customHeight="1">
      <c r="G273" s="75"/>
    </row>
    <row r="274" ht="15.75" customHeight="1">
      <c r="G274" s="75"/>
    </row>
    <row r="275" ht="15.75" customHeight="1">
      <c r="G275" s="75"/>
    </row>
    <row r="276" ht="15.75" customHeight="1">
      <c r="G276" s="75"/>
    </row>
    <row r="277" ht="15.75" customHeight="1">
      <c r="G277" s="75"/>
    </row>
    <row r="278" ht="15.75" customHeight="1">
      <c r="G278" s="75"/>
    </row>
    <row r="279" ht="15.75" customHeight="1">
      <c r="G279" s="75"/>
    </row>
    <row r="280" ht="15.75" customHeight="1">
      <c r="G280" s="75"/>
    </row>
    <row r="281" ht="15.75" customHeight="1">
      <c r="G281" s="75"/>
    </row>
    <row r="282" ht="15.75" customHeight="1">
      <c r="G282" s="75"/>
    </row>
    <row r="283" ht="15.75" customHeight="1">
      <c r="G283" s="75"/>
    </row>
    <row r="284" ht="15.75" customHeight="1">
      <c r="G284" s="75"/>
    </row>
    <row r="285" ht="15.75" customHeight="1">
      <c r="G285" s="75"/>
    </row>
    <row r="286" ht="15.75" customHeight="1">
      <c r="G286" s="75"/>
    </row>
    <row r="287" ht="15.75" customHeight="1">
      <c r="G287" s="75"/>
    </row>
    <row r="288" ht="15.75" customHeight="1">
      <c r="G288" s="75"/>
    </row>
    <row r="289" ht="15.75" customHeight="1">
      <c r="G289" s="75"/>
    </row>
    <row r="290" ht="15.75" customHeight="1">
      <c r="G290" s="75"/>
    </row>
    <row r="291" ht="15.75" customHeight="1">
      <c r="G291" s="75"/>
    </row>
    <row r="292" ht="15.75" customHeight="1">
      <c r="G292" s="75"/>
    </row>
    <row r="293" ht="15.75" customHeight="1">
      <c r="G293" s="75"/>
    </row>
    <row r="294" ht="15.75" customHeight="1">
      <c r="G294" s="75"/>
    </row>
    <row r="295" ht="15.75" customHeight="1">
      <c r="G295" s="75"/>
    </row>
    <row r="296" ht="15.75" customHeight="1">
      <c r="G296" s="75"/>
    </row>
    <row r="297" ht="15.75" customHeight="1">
      <c r="G297" s="75"/>
    </row>
    <row r="298" ht="15.75" customHeight="1">
      <c r="G298" s="75"/>
    </row>
    <row r="299" ht="15.75" customHeight="1">
      <c r="G299" s="75"/>
    </row>
    <row r="300" ht="15.75" customHeight="1">
      <c r="G300" s="75"/>
    </row>
    <row r="301" ht="15.75" customHeight="1">
      <c r="G301" s="75"/>
    </row>
    <row r="302" ht="15.75" customHeight="1">
      <c r="G302" s="75"/>
    </row>
    <row r="303" ht="15.75" customHeight="1">
      <c r="G303" s="75"/>
    </row>
    <row r="304" ht="15.75" customHeight="1">
      <c r="G304" s="75"/>
    </row>
    <row r="305" ht="15.75" customHeight="1">
      <c r="G305" s="75"/>
    </row>
    <row r="306" ht="15.75" customHeight="1">
      <c r="G306" s="75"/>
    </row>
    <row r="307" ht="15.75" customHeight="1">
      <c r="G307" s="75"/>
    </row>
    <row r="308" ht="15.75" customHeight="1">
      <c r="G308" s="75"/>
    </row>
    <row r="309" ht="15.75" customHeight="1">
      <c r="G309" s="75"/>
    </row>
    <row r="310" ht="15.75" customHeight="1">
      <c r="G310" s="75"/>
    </row>
    <row r="311" ht="15.75" customHeight="1">
      <c r="G311" s="75"/>
    </row>
    <row r="312" ht="15.75" customHeight="1">
      <c r="G312" s="75"/>
    </row>
    <row r="313" ht="15.75" customHeight="1">
      <c r="G313" s="75"/>
    </row>
    <row r="314" ht="15.75" customHeight="1">
      <c r="G314" s="75"/>
    </row>
    <row r="315" ht="15.75" customHeight="1">
      <c r="G315" s="75"/>
    </row>
    <row r="316" ht="15.75" customHeight="1">
      <c r="G316" s="75"/>
    </row>
    <row r="317" ht="15.75" customHeight="1">
      <c r="G317" s="75"/>
    </row>
    <row r="318" ht="15.75" customHeight="1">
      <c r="G318" s="75"/>
    </row>
    <row r="319" ht="15.75" customHeight="1">
      <c r="G319" s="75"/>
    </row>
    <row r="320" ht="15.75" customHeight="1">
      <c r="G320" s="75"/>
    </row>
    <row r="321" ht="15.75" customHeight="1">
      <c r="G321" s="75"/>
    </row>
    <row r="322" ht="15.75" customHeight="1">
      <c r="G322" s="75"/>
    </row>
    <row r="323" ht="15.75" customHeight="1">
      <c r="G323" s="75"/>
    </row>
    <row r="324" ht="15.75" customHeight="1">
      <c r="G324" s="75"/>
    </row>
    <row r="325" ht="15.75" customHeight="1">
      <c r="G325" s="75"/>
    </row>
    <row r="326" ht="15.75" customHeight="1">
      <c r="G326" s="75"/>
    </row>
    <row r="327" ht="15.75" customHeight="1">
      <c r="G327" s="75"/>
    </row>
    <row r="328" ht="15.75" customHeight="1">
      <c r="G328" s="75"/>
    </row>
    <row r="329" ht="15.75" customHeight="1">
      <c r="G329" s="75"/>
    </row>
    <row r="330" ht="15.75" customHeight="1">
      <c r="G330" s="75"/>
    </row>
    <row r="331" ht="15.75" customHeight="1">
      <c r="G331" s="75"/>
    </row>
    <row r="332" ht="15.75" customHeight="1">
      <c r="G332" s="75"/>
    </row>
    <row r="333" ht="15.75" customHeight="1">
      <c r="G333" s="75"/>
    </row>
    <row r="334" ht="15.75" customHeight="1">
      <c r="G334" s="75"/>
    </row>
    <row r="335" ht="15.75" customHeight="1">
      <c r="G335" s="75"/>
    </row>
    <row r="336" ht="15.75" customHeight="1">
      <c r="G336" s="75"/>
    </row>
    <row r="337" ht="15.75" customHeight="1">
      <c r="G337" s="75"/>
    </row>
    <row r="338" ht="15.75" customHeight="1">
      <c r="G338" s="75"/>
    </row>
    <row r="339" ht="15.75" customHeight="1">
      <c r="G339" s="75"/>
    </row>
    <row r="340" ht="15.75" customHeight="1">
      <c r="G340" s="75"/>
    </row>
    <row r="341" ht="15.75" customHeight="1">
      <c r="G341" s="75"/>
    </row>
    <row r="342" ht="15.75" customHeight="1">
      <c r="G342" s="75"/>
    </row>
    <row r="343" ht="15.75" customHeight="1">
      <c r="G343" s="75"/>
    </row>
    <row r="344" ht="15.75" customHeight="1">
      <c r="G344" s="75"/>
    </row>
    <row r="345" ht="15.75" customHeight="1">
      <c r="G345" s="75"/>
    </row>
    <row r="346" ht="15.75" customHeight="1">
      <c r="G346" s="75"/>
    </row>
    <row r="347" ht="15.75" customHeight="1">
      <c r="G347" s="75"/>
    </row>
    <row r="348" ht="15.75" customHeight="1">
      <c r="G348" s="75"/>
    </row>
    <row r="349" ht="15.75" customHeight="1">
      <c r="G349" s="75"/>
    </row>
    <row r="350" ht="15.75" customHeight="1">
      <c r="G350" s="75"/>
    </row>
    <row r="351" ht="15.75" customHeight="1">
      <c r="G351" s="75"/>
    </row>
    <row r="352" ht="15.75" customHeight="1">
      <c r="G352" s="75"/>
    </row>
    <row r="353" ht="15.75" customHeight="1">
      <c r="G353" s="75"/>
    </row>
    <row r="354" ht="15.75" customHeight="1">
      <c r="G354" s="75"/>
    </row>
    <row r="355" ht="15.75" customHeight="1">
      <c r="G355" s="75"/>
    </row>
    <row r="356" ht="15.75" customHeight="1">
      <c r="G356" s="75"/>
    </row>
    <row r="357" ht="15.75" customHeight="1">
      <c r="G357" s="75"/>
    </row>
    <row r="358" ht="15.75" customHeight="1">
      <c r="G358" s="75"/>
    </row>
    <row r="359" ht="15.75" customHeight="1">
      <c r="G359" s="75"/>
    </row>
    <row r="360" ht="15.75" customHeight="1">
      <c r="G360" s="75"/>
    </row>
    <row r="361" ht="15.75" customHeight="1">
      <c r="G361" s="75"/>
    </row>
    <row r="362" ht="15.75" customHeight="1">
      <c r="G362" s="75"/>
    </row>
    <row r="363" ht="15.75" customHeight="1">
      <c r="G363" s="75"/>
    </row>
    <row r="364" ht="15.75" customHeight="1">
      <c r="G364" s="75"/>
    </row>
    <row r="365" ht="15.75" customHeight="1">
      <c r="G365" s="75"/>
    </row>
    <row r="366" ht="15.75" customHeight="1">
      <c r="G366" s="75"/>
    </row>
    <row r="367" ht="15.75" customHeight="1">
      <c r="G367" s="75"/>
    </row>
    <row r="368" ht="15.75" customHeight="1">
      <c r="G368" s="75"/>
    </row>
    <row r="369" ht="15.75" customHeight="1">
      <c r="G369" s="75"/>
    </row>
    <row r="370" ht="15.75" customHeight="1">
      <c r="G370" s="75"/>
    </row>
    <row r="371" ht="15.75" customHeight="1">
      <c r="G371" s="75"/>
    </row>
    <row r="372" ht="15.75" customHeight="1">
      <c r="G372" s="75"/>
    </row>
    <row r="373" ht="15.75" customHeight="1">
      <c r="G373" s="75"/>
    </row>
    <row r="374" ht="15.75" customHeight="1">
      <c r="G374" s="75"/>
    </row>
    <row r="375" ht="15.75" customHeight="1">
      <c r="G375" s="75"/>
    </row>
    <row r="376" ht="15.75" customHeight="1">
      <c r="G376" s="75"/>
    </row>
    <row r="377" ht="15.75" customHeight="1">
      <c r="G377" s="75"/>
    </row>
    <row r="378" ht="15.75" customHeight="1">
      <c r="G378" s="75"/>
    </row>
    <row r="379" ht="15.75" customHeight="1">
      <c r="G379" s="75"/>
    </row>
    <row r="380" ht="15.75" customHeight="1">
      <c r="G380" s="75"/>
    </row>
    <row r="381" ht="15.75" customHeight="1">
      <c r="G381" s="75"/>
    </row>
    <row r="382" ht="15.75" customHeight="1">
      <c r="G382" s="75"/>
    </row>
    <row r="383" ht="15.75" customHeight="1">
      <c r="G383" s="75"/>
    </row>
    <row r="384" ht="15.75" customHeight="1">
      <c r="G384" s="75"/>
    </row>
    <row r="385" ht="15.75" customHeight="1">
      <c r="G385" s="75"/>
    </row>
    <row r="386" ht="15.75" customHeight="1">
      <c r="G386" s="75"/>
    </row>
    <row r="387" ht="15.75" customHeight="1">
      <c r="G387" s="75"/>
    </row>
    <row r="388" ht="15.75" customHeight="1">
      <c r="G388" s="75"/>
    </row>
    <row r="389" ht="15.75" customHeight="1">
      <c r="G389" s="75"/>
    </row>
    <row r="390" ht="15.75" customHeight="1">
      <c r="G390" s="75"/>
    </row>
    <row r="391" ht="15.75" customHeight="1">
      <c r="G391" s="75"/>
    </row>
    <row r="392" ht="15.75" customHeight="1">
      <c r="G392" s="75"/>
    </row>
    <row r="393" ht="15.75" customHeight="1">
      <c r="G393" s="75"/>
    </row>
    <row r="394" ht="15.75" customHeight="1">
      <c r="G394" s="75"/>
    </row>
    <row r="395" ht="15.75" customHeight="1">
      <c r="G395" s="75"/>
    </row>
    <row r="396" ht="15.75" customHeight="1">
      <c r="G396" s="75"/>
    </row>
    <row r="397" ht="15.75" customHeight="1">
      <c r="G397" s="75"/>
    </row>
    <row r="398" ht="15.75" customHeight="1">
      <c r="G398" s="75"/>
    </row>
    <row r="399" ht="15.75" customHeight="1">
      <c r="G399" s="75"/>
    </row>
    <row r="400" ht="15.75" customHeight="1">
      <c r="G400" s="75"/>
    </row>
    <row r="401" ht="15.75" customHeight="1">
      <c r="G401" s="75"/>
    </row>
    <row r="402" ht="15.75" customHeight="1">
      <c r="G402" s="75"/>
    </row>
    <row r="403" ht="15.75" customHeight="1">
      <c r="G403" s="75"/>
    </row>
    <row r="404" ht="15.75" customHeight="1">
      <c r="G404" s="75"/>
    </row>
    <row r="405" ht="15.75" customHeight="1">
      <c r="G405" s="75"/>
    </row>
    <row r="406" ht="15.75" customHeight="1">
      <c r="G406" s="75"/>
    </row>
    <row r="407" ht="15.75" customHeight="1">
      <c r="G407" s="75"/>
    </row>
    <row r="408" ht="15.75" customHeight="1">
      <c r="G408" s="75"/>
    </row>
    <row r="409" ht="15.75" customHeight="1">
      <c r="G409" s="75"/>
    </row>
    <row r="410" ht="15.75" customHeight="1">
      <c r="G410" s="75"/>
    </row>
    <row r="411" ht="15.75" customHeight="1">
      <c r="G411" s="75"/>
    </row>
    <row r="412" ht="15.75" customHeight="1">
      <c r="G412" s="75"/>
    </row>
    <row r="413" ht="15.75" customHeight="1">
      <c r="G413" s="75"/>
    </row>
    <row r="414" ht="15.75" customHeight="1">
      <c r="G414" s="75"/>
    </row>
    <row r="415" ht="15.75" customHeight="1">
      <c r="G415" s="75"/>
    </row>
    <row r="416" ht="15.75" customHeight="1">
      <c r="G416" s="75"/>
    </row>
    <row r="417" ht="15.75" customHeight="1">
      <c r="G417" s="75"/>
    </row>
    <row r="418" ht="15.75" customHeight="1">
      <c r="G418" s="75"/>
    </row>
    <row r="419" ht="15.75" customHeight="1">
      <c r="G419" s="75"/>
    </row>
    <row r="420" ht="15.75" customHeight="1">
      <c r="G420" s="75"/>
    </row>
    <row r="421" ht="15.75" customHeight="1">
      <c r="G421" s="75"/>
    </row>
    <row r="422" ht="15.75" customHeight="1">
      <c r="G422" s="75"/>
    </row>
    <row r="423" ht="15.75" customHeight="1">
      <c r="G423" s="75"/>
    </row>
    <row r="424" ht="15.75" customHeight="1">
      <c r="G424" s="75"/>
    </row>
    <row r="425" ht="15.75" customHeight="1">
      <c r="G425" s="75"/>
    </row>
    <row r="426" ht="15.75" customHeight="1">
      <c r="G426" s="75"/>
    </row>
    <row r="427" ht="15.75" customHeight="1">
      <c r="G427" s="75"/>
    </row>
    <row r="428" ht="15.75" customHeight="1">
      <c r="G428" s="75"/>
    </row>
    <row r="429" ht="15.75" customHeight="1">
      <c r="G429" s="75"/>
    </row>
    <row r="430" ht="15.75" customHeight="1">
      <c r="G430" s="75"/>
    </row>
    <row r="431" ht="15.75" customHeight="1">
      <c r="G431" s="75"/>
    </row>
    <row r="432" ht="15.75" customHeight="1">
      <c r="G432" s="75"/>
    </row>
    <row r="433" ht="15.75" customHeight="1">
      <c r="G433" s="75"/>
    </row>
    <row r="434" ht="15.75" customHeight="1">
      <c r="G434" s="75"/>
    </row>
    <row r="435" ht="15.75" customHeight="1">
      <c r="G435" s="75"/>
    </row>
    <row r="436" ht="15.75" customHeight="1">
      <c r="G436" s="75"/>
    </row>
    <row r="437" ht="15.75" customHeight="1">
      <c r="G437" s="75"/>
    </row>
    <row r="438" ht="15.75" customHeight="1">
      <c r="G438" s="75"/>
    </row>
    <row r="439" ht="15.75" customHeight="1">
      <c r="G439" s="75"/>
    </row>
    <row r="440" ht="15.75" customHeight="1">
      <c r="G440" s="75"/>
    </row>
    <row r="441" ht="15.75" customHeight="1">
      <c r="G441" s="75"/>
    </row>
    <row r="442" ht="15.75" customHeight="1">
      <c r="G442" s="75"/>
    </row>
    <row r="443" ht="15.75" customHeight="1">
      <c r="G443" s="75"/>
    </row>
    <row r="444" ht="15.75" customHeight="1">
      <c r="G444" s="75"/>
    </row>
    <row r="445" ht="15.75" customHeight="1">
      <c r="G445" s="75"/>
    </row>
    <row r="446" ht="15.75" customHeight="1">
      <c r="G446" s="75"/>
    </row>
    <row r="447" ht="15.75" customHeight="1">
      <c r="G447" s="75"/>
    </row>
    <row r="448" ht="15.75" customHeight="1">
      <c r="G448" s="75"/>
    </row>
    <row r="449" ht="15.75" customHeight="1">
      <c r="G449" s="75"/>
    </row>
    <row r="450" ht="15.75" customHeight="1">
      <c r="G450" s="75"/>
    </row>
    <row r="451" ht="15.75" customHeight="1">
      <c r="G451" s="75"/>
    </row>
    <row r="452" ht="15.75" customHeight="1">
      <c r="G452" s="75"/>
    </row>
    <row r="453" ht="15.75" customHeight="1">
      <c r="G453" s="75"/>
    </row>
    <row r="454" ht="15.75" customHeight="1">
      <c r="G454" s="75"/>
    </row>
    <row r="455" ht="15.75" customHeight="1">
      <c r="G455" s="75"/>
    </row>
    <row r="456" ht="15.75" customHeight="1">
      <c r="G456" s="75"/>
    </row>
    <row r="457" ht="15.75" customHeight="1">
      <c r="G457" s="75"/>
    </row>
    <row r="458" ht="15.75" customHeight="1">
      <c r="G458" s="75"/>
    </row>
    <row r="459" ht="15.75" customHeight="1">
      <c r="G459" s="75"/>
    </row>
    <row r="460" ht="15.75" customHeight="1">
      <c r="G460" s="75"/>
    </row>
    <row r="461" ht="15.75" customHeight="1">
      <c r="G461" s="75"/>
    </row>
    <row r="462" ht="15.75" customHeight="1">
      <c r="G462" s="75"/>
    </row>
    <row r="463" ht="15.75" customHeight="1">
      <c r="G463" s="75"/>
    </row>
    <row r="464" ht="15.75" customHeight="1">
      <c r="G464" s="75"/>
    </row>
    <row r="465" ht="15.75" customHeight="1">
      <c r="G465" s="75"/>
    </row>
    <row r="466" ht="15.75" customHeight="1">
      <c r="G466" s="75"/>
    </row>
    <row r="467" ht="15.75" customHeight="1">
      <c r="G467" s="75"/>
    </row>
    <row r="468" ht="15.75" customHeight="1">
      <c r="G468" s="75"/>
    </row>
    <row r="469" ht="15.75" customHeight="1">
      <c r="G469" s="75"/>
    </row>
    <row r="470" ht="15.75" customHeight="1">
      <c r="G470" s="75"/>
    </row>
    <row r="471" ht="15.75" customHeight="1">
      <c r="G471" s="75"/>
    </row>
    <row r="472" ht="15.75" customHeight="1">
      <c r="G472" s="75"/>
    </row>
    <row r="473" ht="15.75" customHeight="1">
      <c r="G473" s="75"/>
    </row>
    <row r="474" ht="15.75" customHeight="1">
      <c r="G474" s="75"/>
    </row>
    <row r="475" ht="15.75" customHeight="1">
      <c r="G475" s="75"/>
    </row>
    <row r="476" ht="15.75" customHeight="1">
      <c r="G476" s="75"/>
    </row>
    <row r="477" ht="15.75" customHeight="1">
      <c r="G477" s="75"/>
    </row>
    <row r="478" ht="15.75" customHeight="1">
      <c r="G478" s="75"/>
    </row>
    <row r="479" ht="15.75" customHeight="1">
      <c r="G479" s="75"/>
    </row>
    <row r="480" ht="15.75" customHeight="1">
      <c r="G480" s="75"/>
    </row>
    <row r="481" ht="15.75" customHeight="1">
      <c r="G481" s="75"/>
    </row>
    <row r="482" ht="15.75" customHeight="1">
      <c r="G482" s="75"/>
    </row>
    <row r="483" ht="15.75" customHeight="1">
      <c r="G483" s="75"/>
    </row>
    <row r="484" ht="15.75" customHeight="1">
      <c r="G484" s="75"/>
    </row>
    <row r="485" ht="15.75" customHeight="1">
      <c r="G485" s="75"/>
    </row>
    <row r="486" ht="15.75" customHeight="1">
      <c r="G486" s="75"/>
    </row>
    <row r="487" ht="15.75" customHeight="1">
      <c r="G487" s="75"/>
    </row>
    <row r="488" ht="15.75" customHeight="1">
      <c r="G488" s="75"/>
    </row>
    <row r="489" ht="15.75" customHeight="1">
      <c r="G489" s="75"/>
    </row>
    <row r="490" ht="15.75" customHeight="1">
      <c r="G490" s="75"/>
    </row>
    <row r="491" ht="15.75" customHeight="1">
      <c r="G491" s="75"/>
    </row>
    <row r="492" ht="15.75" customHeight="1">
      <c r="G492" s="75"/>
    </row>
    <row r="493" ht="15.75" customHeight="1">
      <c r="G493" s="75"/>
    </row>
    <row r="494" ht="15.75" customHeight="1">
      <c r="G494" s="75"/>
    </row>
    <row r="495" ht="15.75" customHeight="1">
      <c r="G495" s="75"/>
    </row>
    <row r="496" ht="15.75" customHeight="1">
      <c r="G496" s="75"/>
    </row>
    <row r="497" ht="15.75" customHeight="1">
      <c r="G497" s="75"/>
    </row>
    <row r="498" ht="15.75" customHeight="1">
      <c r="G498" s="75"/>
    </row>
    <row r="499" ht="15.75" customHeight="1">
      <c r="G499" s="75"/>
    </row>
    <row r="500" ht="15.75" customHeight="1">
      <c r="G500" s="75"/>
    </row>
    <row r="501" ht="15.75" customHeight="1">
      <c r="G501" s="75"/>
    </row>
    <row r="502" ht="15.75" customHeight="1">
      <c r="G502" s="75"/>
    </row>
    <row r="503" ht="15.75" customHeight="1">
      <c r="G503" s="75"/>
    </row>
    <row r="504" ht="15.75" customHeight="1">
      <c r="G504" s="75"/>
    </row>
    <row r="505" ht="15.75" customHeight="1">
      <c r="G505" s="75"/>
    </row>
    <row r="506" ht="15.75" customHeight="1">
      <c r="G506" s="75"/>
    </row>
    <row r="507" ht="15.75" customHeight="1">
      <c r="G507" s="75"/>
    </row>
    <row r="508" ht="15.75" customHeight="1">
      <c r="G508" s="75"/>
    </row>
    <row r="509" ht="15.75" customHeight="1">
      <c r="G509" s="75"/>
    </row>
    <row r="510" ht="15.75" customHeight="1">
      <c r="G510" s="75"/>
    </row>
    <row r="511" ht="15.75" customHeight="1">
      <c r="G511" s="75"/>
    </row>
    <row r="512" ht="15.75" customHeight="1">
      <c r="G512" s="75"/>
    </row>
    <row r="513" ht="15.75" customHeight="1">
      <c r="G513" s="75"/>
    </row>
    <row r="514" ht="15.75" customHeight="1">
      <c r="G514" s="75"/>
    </row>
    <row r="515" ht="15.75" customHeight="1">
      <c r="G515" s="75"/>
    </row>
    <row r="516" ht="15.75" customHeight="1">
      <c r="G516" s="75"/>
    </row>
    <row r="517" ht="15.75" customHeight="1">
      <c r="G517" s="75"/>
    </row>
    <row r="518" ht="15.75" customHeight="1">
      <c r="G518" s="75"/>
    </row>
    <row r="519" ht="15.75" customHeight="1">
      <c r="G519" s="75"/>
    </row>
    <row r="520" ht="15.75" customHeight="1">
      <c r="G520" s="75"/>
    </row>
    <row r="521" ht="15.75" customHeight="1">
      <c r="G521" s="75"/>
    </row>
    <row r="522" ht="15.75" customHeight="1">
      <c r="G522" s="75"/>
    </row>
    <row r="523" ht="15.75" customHeight="1">
      <c r="G523" s="75"/>
    </row>
    <row r="524" ht="15.75" customHeight="1">
      <c r="G524" s="75"/>
    </row>
    <row r="525" ht="15.75" customHeight="1">
      <c r="G525" s="75"/>
    </row>
    <row r="526" ht="15.75" customHeight="1">
      <c r="G526" s="75"/>
    </row>
    <row r="527" ht="15.75" customHeight="1">
      <c r="G527" s="75"/>
    </row>
    <row r="528" ht="15.75" customHeight="1">
      <c r="G528" s="75"/>
    </row>
    <row r="529" ht="15.75" customHeight="1">
      <c r="G529" s="75"/>
    </row>
    <row r="530" ht="15.75" customHeight="1">
      <c r="G530" s="75"/>
    </row>
    <row r="531" ht="15.75" customHeight="1">
      <c r="G531" s="75"/>
    </row>
    <row r="532" ht="15.75" customHeight="1">
      <c r="G532" s="75"/>
    </row>
    <row r="533" ht="15.75" customHeight="1">
      <c r="G533" s="75"/>
    </row>
    <row r="534" ht="15.75" customHeight="1">
      <c r="G534" s="75"/>
    </row>
    <row r="535" ht="15.75" customHeight="1">
      <c r="G535" s="75"/>
    </row>
    <row r="536" ht="15.75" customHeight="1">
      <c r="G536" s="75"/>
    </row>
    <row r="537" ht="15.75" customHeight="1">
      <c r="G537" s="75"/>
    </row>
    <row r="538" ht="15.75" customHeight="1">
      <c r="G538" s="75"/>
    </row>
    <row r="539" ht="15.75" customHeight="1">
      <c r="G539" s="75"/>
    </row>
    <row r="540" ht="15.75" customHeight="1">
      <c r="G540" s="75"/>
    </row>
    <row r="541" ht="15.75" customHeight="1">
      <c r="G541" s="75"/>
    </row>
    <row r="542" ht="15.75" customHeight="1">
      <c r="G542" s="75"/>
    </row>
    <row r="543" ht="15.75" customHeight="1">
      <c r="G543" s="75"/>
    </row>
    <row r="544" ht="15.75" customHeight="1">
      <c r="G544" s="75"/>
    </row>
    <row r="545" ht="15.75" customHeight="1">
      <c r="G545" s="75"/>
    </row>
    <row r="546" ht="15.75" customHeight="1">
      <c r="G546" s="75"/>
    </row>
    <row r="547" ht="15.75" customHeight="1">
      <c r="G547" s="75"/>
    </row>
    <row r="548" ht="15.75" customHeight="1">
      <c r="G548" s="75"/>
    </row>
    <row r="549" ht="15.75" customHeight="1">
      <c r="G549" s="75"/>
    </row>
    <row r="550" ht="15.75" customHeight="1">
      <c r="G550" s="75"/>
    </row>
    <row r="551" ht="15.75" customHeight="1">
      <c r="G551" s="75"/>
    </row>
    <row r="552" ht="15.75" customHeight="1">
      <c r="G552" s="75"/>
    </row>
    <row r="553" ht="15.75" customHeight="1">
      <c r="G553" s="75"/>
    </row>
    <row r="554" ht="15.75" customHeight="1">
      <c r="G554" s="75"/>
    </row>
    <row r="555" ht="15.75" customHeight="1">
      <c r="G555" s="75"/>
    </row>
    <row r="556" ht="15.75" customHeight="1">
      <c r="G556" s="75"/>
    </row>
    <row r="557" ht="15.75" customHeight="1">
      <c r="G557" s="75"/>
    </row>
    <row r="558" ht="15.75" customHeight="1">
      <c r="G558" s="75"/>
    </row>
    <row r="559" ht="15.75" customHeight="1">
      <c r="G559" s="75"/>
    </row>
    <row r="560" ht="15.75" customHeight="1">
      <c r="G560" s="75"/>
    </row>
    <row r="561" ht="15.75" customHeight="1">
      <c r="G561" s="75"/>
    </row>
    <row r="562" ht="15.75" customHeight="1">
      <c r="G562" s="75"/>
    </row>
    <row r="563" ht="15.75" customHeight="1">
      <c r="G563" s="75"/>
    </row>
    <row r="564" ht="15.75" customHeight="1">
      <c r="G564" s="75"/>
    </row>
    <row r="565" ht="15.75" customHeight="1">
      <c r="G565" s="75"/>
    </row>
    <row r="566" ht="15.75" customHeight="1">
      <c r="G566" s="75"/>
    </row>
    <row r="567" ht="15.75" customHeight="1">
      <c r="G567" s="75"/>
    </row>
    <row r="568" ht="15.75" customHeight="1">
      <c r="G568" s="75"/>
    </row>
    <row r="569" ht="15.75" customHeight="1">
      <c r="G569" s="75"/>
    </row>
    <row r="570" ht="15.75" customHeight="1">
      <c r="G570" s="75"/>
    </row>
    <row r="571" ht="15.75" customHeight="1">
      <c r="G571" s="75"/>
    </row>
    <row r="572" ht="15.75" customHeight="1">
      <c r="G572" s="75"/>
    </row>
    <row r="573" ht="15.75" customHeight="1">
      <c r="G573" s="75"/>
    </row>
    <row r="574" ht="15.75" customHeight="1">
      <c r="G574" s="75"/>
    </row>
    <row r="575" ht="15.75" customHeight="1">
      <c r="G575" s="75"/>
    </row>
    <row r="576" ht="15.75" customHeight="1">
      <c r="G576" s="75"/>
    </row>
    <row r="577" ht="15.75" customHeight="1">
      <c r="G577" s="75"/>
    </row>
    <row r="578" ht="15.75" customHeight="1">
      <c r="G578" s="75"/>
    </row>
    <row r="579" ht="15.75" customHeight="1">
      <c r="G579" s="75"/>
    </row>
    <row r="580" ht="15.75" customHeight="1">
      <c r="G580" s="75"/>
    </row>
    <row r="581" ht="15.75" customHeight="1">
      <c r="G581" s="75"/>
    </row>
    <row r="582" ht="15.75" customHeight="1">
      <c r="G582" s="75"/>
    </row>
    <row r="583" ht="15.75" customHeight="1">
      <c r="G583" s="75"/>
    </row>
    <row r="584" ht="15.75" customHeight="1">
      <c r="G584" s="75"/>
    </row>
    <row r="585" ht="15.75" customHeight="1">
      <c r="G585" s="75"/>
    </row>
    <row r="586" ht="15.75" customHeight="1">
      <c r="G586" s="75"/>
    </row>
    <row r="587" ht="15.75" customHeight="1">
      <c r="G587" s="75"/>
    </row>
    <row r="588" ht="15.75" customHeight="1">
      <c r="G588" s="75"/>
    </row>
    <row r="589" ht="15.75" customHeight="1">
      <c r="G589" s="75"/>
    </row>
    <row r="590" ht="15.75" customHeight="1">
      <c r="G590" s="75"/>
    </row>
    <row r="591" ht="15.75" customHeight="1">
      <c r="G591" s="75"/>
    </row>
    <row r="592" ht="15.75" customHeight="1">
      <c r="G592" s="75"/>
    </row>
    <row r="593" ht="15.75" customHeight="1">
      <c r="G593" s="75"/>
    </row>
    <row r="594" ht="15.75" customHeight="1">
      <c r="G594" s="75"/>
    </row>
    <row r="595" ht="15.75" customHeight="1">
      <c r="G595" s="75"/>
    </row>
    <row r="596" ht="15.75" customHeight="1">
      <c r="G596" s="75"/>
    </row>
    <row r="597" ht="15.75" customHeight="1">
      <c r="G597" s="75"/>
    </row>
    <row r="598" ht="15.75" customHeight="1">
      <c r="G598" s="75"/>
    </row>
    <row r="599" ht="15.75" customHeight="1">
      <c r="G599" s="75"/>
    </row>
    <row r="600" ht="15.75" customHeight="1">
      <c r="G600" s="75"/>
    </row>
    <row r="601" ht="15.75" customHeight="1">
      <c r="G601" s="75"/>
    </row>
    <row r="602" ht="15.75" customHeight="1">
      <c r="G602" s="75"/>
    </row>
    <row r="603" ht="15.75" customHeight="1">
      <c r="G603" s="75"/>
    </row>
    <row r="604" ht="15.75" customHeight="1">
      <c r="G604" s="75"/>
    </row>
    <row r="605" ht="15.75" customHeight="1">
      <c r="G605" s="75"/>
    </row>
    <row r="606" ht="15.75" customHeight="1">
      <c r="G606" s="75"/>
    </row>
    <row r="607" ht="15.75" customHeight="1">
      <c r="G607" s="75"/>
    </row>
    <row r="608" ht="15.75" customHeight="1">
      <c r="G608" s="75"/>
    </row>
    <row r="609" ht="15.75" customHeight="1">
      <c r="G609" s="75"/>
    </row>
    <row r="610" ht="15.75" customHeight="1">
      <c r="G610" s="75"/>
    </row>
    <row r="611" ht="15.75" customHeight="1">
      <c r="G611" s="75"/>
    </row>
    <row r="612" ht="15.75" customHeight="1">
      <c r="G612" s="75"/>
    </row>
    <row r="613" ht="15.75" customHeight="1">
      <c r="G613" s="75"/>
    </row>
    <row r="614" ht="15.75" customHeight="1">
      <c r="G614" s="75"/>
    </row>
    <row r="615" ht="15.75" customHeight="1">
      <c r="G615" s="75"/>
    </row>
    <row r="616" ht="15.75" customHeight="1">
      <c r="G616" s="75"/>
    </row>
    <row r="617" ht="15.75" customHeight="1">
      <c r="G617" s="75"/>
    </row>
    <row r="618" ht="15.75" customHeight="1">
      <c r="G618" s="75"/>
    </row>
    <row r="619" ht="15.75" customHeight="1">
      <c r="G619" s="75"/>
    </row>
    <row r="620" ht="15.75" customHeight="1">
      <c r="G620" s="75"/>
    </row>
    <row r="621" ht="15.75" customHeight="1">
      <c r="G621" s="75"/>
    </row>
    <row r="622" ht="15.75" customHeight="1">
      <c r="G622" s="75"/>
    </row>
    <row r="623" ht="15.75" customHeight="1">
      <c r="G623" s="75"/>
    </row>
    <row r="624" ht="15.75" customHeight="1">
      <c r="G624" s="75"/>
    </row>
    <row r="625" ht="15.75" customHeight="1">
      <c r="G625" s="75"/>
    </row>
    <row r="626" ht="15.75" customHeight="1">
      <c r="G626" s="75"/>
    </row>
    <row r="627" ht="15.75" customHeight="1">
      <c r="G627" s="75"/>
    </row>
    <row r="628" ht="15.75" customHeight="1">
      <c r="G628" s="75"/>
    </row>
    <row r="629" ht="15.75" customHeight="1">
      <c r="G629" s="75"/>
    </row>
    <row r="630" ht="15.75" customHeight="1">
      <c r="G630" s="75"/>
    </row>
    <row r="631" ht="15.75" customHeight="1">
      <c r="G631" s="75"/>
    </row>
    <row r="632" ht="15.75" customHeight="1">
      <c r="G632" s="75"/>
    </row>
    <row r="633" ht="15.75" customHeight="1">
      <c r="G633" s="75"/>
    </row>
    <row r="634" ht="15.75" customHeight="1">
      <c r="G634" s="75"/>
    </row>
    <row r="635" ht="15.75" customHeight="1">
      <c r="G635" s="75"/>
    </row>
    <row r="636" ht="15.75" customHeight="1">
      <c r="G636" s="75"/>
    </row>
    <row r="637" ht="15.75" customHeight="1">
      <c r="G637" s="75"/>
    </row>
    <row r="638" ht="15.75" customHeight="1">
      <c r="G638" s="75"/>
    </row>
    <row r="639" ht="15.75" customHeight="1">
      <c r="G639" s="75"/>
    </row>
    <row r="640" ht="15.75" customHeight="1">
      <c r="G640" s="75"/>
    </row>
    <row r="641" ht="15.75" customHeight="1">
      <c r="G641" s="75"/>
    </row>
    <row r="642" ht="15.75" customHeight="1">
      <c r="G642" s="75"/>
    </row>
    <row r="643" ht="15.75" customHeight="1">
      <c r="G643" s="75"/>
    </row>
    <row r="644" ht="15.75" customHeight="1">
      <c r="G644" s="75"/>
    </row>
    <row r="645" ht="15.75" customHeight="1">
      <c r="G645" s="75"/>
    </row>
    <row r="646" ht="15.75" customHeight="1">
      <c r="G646" s="75"/>
    </row>
    <row r="647" ht="15.75" customHeight="1">
      <c r="G647" s="75"/>
    </row>
    <row r="648" ht="15.75" customHeight="1">
      <c r="G648" s="75"/>
    </row>
    <row r="649" ht="15.75" customHeight="1">
      <c r="G649" s="75"/>
    </row>
    <row r="650" ht="15.75" customHeight="1">
      <c r="G650" s="75"/>
    </row>
    <row r="651" ht="15.75" customHeight="1">
      <c r="G651" s="75"/>
    </row>
    <row r="652" ht="15.75" customHeight="1">
      <c r="G652" s="75"/>
    </row>
    <row r="653" ht="15.75" customHeight="1">
      <c r="G653" s="75"/>
    </row>
    <row r="654" ht="15.75" customHeight="1">
      <c r="G654" s="75"/>
    </row>
    <row r="655" ht="15.75" customHeight="1">
      <c r="G655" s="75"/>
    </row>
    <row r="656" ht="15.75" customHeight="1">
      <c r="G656" s="75"/>
    </row>
    <row r="657" ht="15.75" customHeight="1">
      <c r="G657" s="75"/>
    </row>
    <row r="658" ht="15.75" customHeight="1">
      <c r="G658" s="75"/>
    </row>
    <row r="659" ht="15.75" customHeight="1">
      <c r="G659" s="75"/>
    </row>
    <row r="660" ht="15.75" customHeight="1">
      <c r="G660" s="75"/>
    </row>
    <row r="661" ht="15.75" customHeight="1">
      <c r="G661" s="75"/>
    </row>
    <row r="662" ht="15.75" customHeight="1">
      <c r="G662" s="75"/>
    </row>
    <row r="663" ht="15.75" customHeight="1">
      <c r="G663" s="75"/>
    </row>
    <row r="664" ht="15.75" customHeight="1">
      <c r="G664" s="75"/>
    </row>
    <row r="665" ht="15.75" customHeight="1">
      <c r="G665" s="75"/>
    </row>
    <row r="666" ht="15.75" customHeight="1">
      <c r="G666" s="75"/>
    </row>
    <row r="667" ht="15.75" customHeight="1">
      <c r="G667" s="75"/>
    </row>
    <row r="668" ht="15.75" customHeight="1">
      <c r="G668" s="75"/>
    </row>
    <row r="669" ht="15.75" customHeight="1">
      <c r="G669" s="75"/>
    </row>
    <row r="670" ht="15.75" customHeight="1">
      <c r="G670" s="75"/>
    </row>
    <row r="671" ht="15.75" customHeight="1">
      <c r="G671" s="75"/>
    </row>
    <row r="672" ht="15.75" customHeight="1">
      <c r="G672" s="75"/>
    </row>
    <row r="673" ht="15.75" customHeight="1">
      <c r="G673" s="75"/>
    </row>
    <row r="674" ht="15.75" customHeight="1">
      <c r="G674" s="75"/>
    </row>
    <row r="675" ht="15.75" customHeight="1">
      <c r="G675" s="75"/>
    </row>
    <row r="676" ht="15.75" customHeight="1">
      <c r="G676" s="75"/>
    </row>
    <row r="677" ht="15.75" customHeight="1">
      <c r="G677" s="75"/>
    </row>
    <row r="678" ht="15.75" customHeight="1">
      <c r="G678" s="75"/>
    </row>
    <row r="679" ht="15.75" customHeight="1">
      <c r="G679" s="75"/>
    </row>
    <row r="680" ht="15.75" customHeight="1">
      <c r="G680" s="75"/>
    </row>
    <row r="681" ht="15.75" customHeight="1">
      <c r="G681" s="75"/>
    </row>
    <row r="682" ht="15.75" customHeight="1">
      <c r="G682" s="75"/>
    </row>
    <row r="683" ht="15.75" customHeight="1">
      <c r="G683" s="75"/>
    </row>
    <row r="684" ht="15.75" customHeight="1">
      <c r="G684" s="75"/>
    </row>
    <row r="685" ht="15.75" customHeight="1">
      <c r="G685" s="75"/>
    </row>
    <row r="686" ht="15.75" customHeight="1">
      <c r="G686" s="75"/>
    </row>
    <row r="687" ht="15.75" customHeight="1">
      <c r="G687" s="75"/>
    </row>
    <row r="688" ht="15.75" customHeight="1">
      <c r="G688" s="75"/>
    </row>
    <row r="689" ht="15.75" customHeight="1">
      <c r="G689" s="75"/>
    </row>
    <row r="690" ht="15.75" customHeight="1">
      <c r="G690" s="75"/>
    </row>
    <row r="691" ht="15.75" customHeight="1">
      <c r="G691" s="75"/>
    </row>
    <row r="692" ht="15.75" customHeight="1">
      <c r="G692" s="75"/>
    </row>
    <row r="693" ht="15.75" customHeight="1">
      <c r="G693" s="75"/>
    </row>
    <row r="694" ht="15.75" customHeight="1">
      <c r="G694" s="75"/>
    </row>
    <row r="695" ht="15.75" customHeight="1">
      <c r="G695" s="75"/>
    </row>
    <row r="696" ht="15.75" customHeight="1">
      <c r="G696" s="75"/>
    </row>
    <row r="697" ht="15.75" customHeight="1">
      <c r="G697" s="75"/>
    </row>
    <row r="698" ht="15.75" customHeight="1">
      <c r="G698" s="75"/>
    </row>
    <row r="699" ht="15.75" customHeight="1">
      <c r="G699" s="75"/>
    </row>
    <row r="700" ht="15.75" customHeight="1">
      <c r="G700" s="75"/>
    </row>
    <row r="701" ht="15.75" customHeight="1">
      <c r="G701" s="75"/>
    </row>
    <row r="702" ht="15.75" customHeight="1">
      <c r="G702" s="75"/>
    </row>
    <row r="703" ht="15.75" customHeight="1">
      <c r="G703" s="75"/>
    </row>
    <row r="704" ht="15.75" customHeight="1">
      <c r="G704" s="75"/>
    </row>
    <row r="705" ht="15.75" customHeight="1">
      <c r="G705" s="75"/>
    </row>
    <row r="706" ht="15.75" customHeight="1">
      <c r="G706" s="75"/>
    </row>
    <row r="707" ht="15.75" customHeight="1">
      <c r="G707" s="75"/>
    </row>
    <row r="708" ht="15.75" customHeight="1">
      <c r="G708" s="75"/>
    </row>
    <row r="709" ht="15.75" customHeight="1">
      <c r="G709" s="75"/>
    </row>
    <row r="710" ht="15.75" customHeight="1">
      <c r="G710" s="75"/>
    </row>
    <row r="711" ht="15.75" customHeight="1">
      <c r="G711" s="75"/>
    </row>
    <row r="712" ht="15.75" customHeight="1">
      <c r="G712" s="75"/>
    </row>
    <row r="713" ht="15.75" customHeight="1">
      <c r="G713" s="75"/>
    </row>
    <row r="714" ht="15.75" customHeight="1">
      <c r="G714" s="75"/>
    </row>
    <row r="715" ht="15.75" customHeight="1">
      <c r="G715" s="75"/>
    </row>
    <row r="716" ht="15.75" customHeight="1">
      <c r="G716" s="75"/>
    </row>
    <row r="717" ht="15.75" customHeight="1">
      <c r="G717" s="75"/>
    </row>
    <row r="718" ht="15.75" customHeight="1">
      <c r="G718" s="75"/>
    </row>
    <row r="719" ht="15.75" customHeight="1">
      <c r="G719" s="75"/>
    </row>
    <row r="720" ht="15.75" customHeight="1">
      <c r="G720" s="75"/>
    </row>
    <row r="721" ht="15.75" customHeight="1">
      <c r="G721" s="75"/>
    </row>
    <row r="722" ht="15.75" customHeight="1">
      <c r="G722" s="75"/>
    </row>
    <row r="723" ht="15.75" customHeight="1">
      <c r="G723" s="75"/>
    </row>
    <row r="724" ht="15.75" customHeight="1">
      <c r="G724" s="75"/>
    </row>
    <row r="725" ht="15.75" customHeight="1">
      <c r="G725" s="75"/>
    </row>
    <row r="726" ht="15.75" customHeight="1">
      <c r="G726" s="75"/>
    </row>
    <row r="727" ht="15.75" customHeight="1">
      <c r="G727" s="75"/>
    </row>
    <row r="728" ht="15.75" customHeight="1">
      <c r="G728" s="75"/>
    </row>
    <row r="729" ht="15.75" customHeight="1">
      <c r="G729" s="75"/>
    </row>
    <row r="730" ht="15.75" customHeight="1">
      <c r="G730" s="75"/>
    </row>
    <row r="731" ht="15.75" customHeight="1">
      <c r="G731" s="75"/>
    </row>
    <row r="732" ht="15.75" customHeight="1">
      <c r="G732" s="75"/>
    </row>
    <row r="733" ht="15.75" customHeight="1">
      <c r="G733" s="75"/>
    </row>
    <row r="734" ht="15.75" customHeight="1">
      <c r="G734" s="75"/>
    </row>
    <row r="735" ht="15.75" customHeight="1">
      <c r="G735" s="75"/>
    </row>
    <row r="736" ht="15.75" customHeight="1">
      <c r="G736" s="75"/>
    </row>
    <row r="737" ht="15.75" customHeight="1">
      <c r="G737" s="75"/>
    </row>
    <row r="738" ht="15.75" customHeight="1">
      <c r="G738" s="75"/>
    </row>
    <row r="739" ht="15.75" customHeight="1">
      <c r="G739" s="75"/>
    </row>
    <row r="740" ht="15.75" customHeight="1">
      <c r="G740" s="75"/>
    </row>
    <row r="741" ht="15.75" customHeight="1">
      <c r="G741" s="75"/>
    </row>
    <row r="742" ht="15.75" customHeight="1">
      <c r="G742" s="75"/>
    </row>
    <row r="743" ht="15.75" customHeight="1">
      <c r="G743" s="75"/>
    </row>
    <row r="744" ht="15.75" customHeight="1">
      <c r="G744" s="75"/>
    </row>
    <row r="745" ht="15.75" customHeight="1">
      <c r="G745" s="75"/>
    </row>
    <row r="746" ht="15.75" customHeight="1">
      <c r="G746" s="75"/>
    </row>
    <row r="747" ht="15.75" customHeight="1">
      <c r="G747" s="75"/>
    </row>
    <row r="748" ht="15.75" customHeight="1">
      <c r="G748" s="75"/>
    </row>
    <row r="749" ht="15.75" customHeight="1">
      <c r="G749" s="75"/>
    </row>
    <row r="750" ht="15.75" customHeight="1">
      <c r="G750" s="75"/>
    </row>
    <row r="751" ht="15.75" customHeight="1">
      <c r="G751" s="75"/>
    </row>
    <row r="752" ht="15.75" customHeight="1">
      <c r="G752" s="75"/>
    </row>
    <row r="753" ht="15.75" customHeight="1">
      <c r="G753" s="75"/>
    </row>
    <row r="754" ht="15.75" customHeight="1">
      <c r="G754" s="75"/>
    </row>
    <row r="755" ht="15.75" customHeight="1">
      <c r="G755" s="75"/>
    </row>
    <row r="756" ht="15.75" customHeight="1">
      <c r="G756" s="75"/>
    </row>
    <row r="757" ht="15.75" customHeight="1">
      <c r="G757" s="75"/>
    </row>
    <row r="758" ht="15.75" customHeight="1">
      <c r="G758" s="75"/>
    </row>
    <row r="759" ht="15.75" customHeight="1">
      <c r="G759" s="75"/>
    </row>
    <row r="760" ht="15.75" customHeight="1">
      <c r="G760" s="75"/>
    </row>
    <row r="761" ht="15.75" customHeight="1">
      <c r="G761" s="75"/>
    </row>
    <row r="762" ht="15.75" customHeight="1">
      <c r="G762" s="75"/>
    </row>
    <row r="763" ht="15.75" customHeight="1">
      <c r="G763" s="75"/>
    </row>
    <row r="764" ht="15.75" customHeight="1">
      <c r="G764" s="75"/>
    </row>
    <row r="765" ht="15.75" customHeight="1">
      <c r="G765" s="75"/>
    </row>
    <row r="766" ht="15.75" customHeight="1">
      <c r="G766" s="75"/>
    </row>
    <row r="767" ht="15.75" customHeight="1">
      <c r="G767" s="75"/>
    </row>
    <row r="768" ht="15.75" customHeight="1">
      <c r="G768" s="75"/>
    </row>
    <row r="769" ht="15.75" customHeight="1">
      <c r="G769" s="75"/>
    </row>
    <row r="770" ht="15.75" customHeight="1">
      <c r="G770" s="75"/>
    </row>
    <row r="771" ht="15.75" customHeight="1">
      <c r="G771" s="75"/>
    </row>
    <row r="772" ht="15.75" customHeight="1">
      <c r="G772" s="75"/>
    </row>
    <row r="773" ht="15.75" customHeight="1">
      <c r="G773" s="75"/>
    </row>
    <row r="774" ht="15.75" customHeight="1">
      <c r="G774" s="75"/>
    </row>
    <row r="775" ht="15.75" customHeight="1">
      <c r="G775" s="75"/>
    </row>
    <row r="776" ht="15.75" customHeight="1">
      <c r="G776" s="75"/>
    </row>
    <row r="777" ht="15.75" customHeight="1">
      <c r="G777" s="75"/>
    </row>
    <row r="778" ht="15.75" customHeight="1">
      <c r="G778" s="75"/>
    </row>
    <row r="779" ht="15.75" customHeight="1">
      <c r="G779" s="75"/>
    </row>
    <row r="780" ht="15.75" customHeight="1">
      <c r="G780" s="75"/>
    </row>
    <row r="781" ht="15.75" customHeight="1">
      <c r="G781" s="75"/>
    </row>
    <row r="782" ht="15.75" customHeight="1">
      <c r="G782" s="75"/>
    </row>
    <row r="783" ht="15.75" customHeight="1">
      <c r="G783" s="75"/>
    </row>
    <row r="784" ht="15.75" customHeight="1">
      <c r="G784" s="75"/>
    </row>
    <row r="785" ht="15.75" customHeight="1">
      <c r="G785" s="75"/>
    </row>
    <row r="786" ht="15.75" customHeight="1">
      <c r="G786" s="75"/>
    </row>
    <row r="787" ht="15.75" customHeight="1">
      <c r="G787" s="75"/>
    </row>
    <row r="788" ht="15.75" customHeight="1">
      <c r="G788" s="75"/>
    </row>
    <row r="789" ht="15.75" customHeight="1">
      <c r="G789" s="75"/>
    </row>
    <row r="790" ht="15.75" customHeight="1">
      <c r="G790" s="75"/>
    </row>
    <row r="791" ht="15.75" customHeight="1">
      <c r="G791" s="75"/>
    </row>
    <row r="792" ht="15.75" customHeight="1">
      <c r="G792" s="75"/>
    </row>
    <row r="793" ht="15.75" customHeight="1">
      <c r="G793" s="75"/>
    </row>
    <row r="794" ht="15.75" customHeight="1">
      <c r="G794" s="75"/>
    </row>
    <row r="795" ht="15.75" customHeight="1">
      <c r="G795" s="75"/>
    </row>
    <row r="796" ht="15.75" customHeight="1">
      <c r="G796" s="75"/>
    </row>
    <row r="797" ht="15.75" customHeight="1">
      <c r="G797" s="75"/>
    </row>
    <row r="798" ht="15.75" customHeight="1">
      <c r="G798" s="75"/>
    </row>
    <row r="799" ht="15.75" customHeight="1">
      <c r="G799" s="75"/>
    </row>
    <row r="800" ht="15.75" customHeight="1">
      <c r="G800" s="75"/>
    </row>
    <row r="801" ht="15.75" customHeight="1">
      <c r="G801" s="75"/>
    </row>
    <row r="802" ht="15.75" customHeight="1">
      <c r="G802" s="75"/>
    </row>
    <row r="803" ht="15.75" customHeight="1">
      <c r="G803" s="75"/>
    </row>
    <row r="804" ht="15.75" customHeight="1">
      <c r="G804" s="75"/>
    </row>
    <row r="805" ht="15.75" customHeight="1">
      <c r="G805" s="75"/>
    </row>
    <row r="806" ht="15.75" customHeight="1">
      <c r="G806" s="75"/>
    </row>
    <row r="807" ht="15.75" customHeight="1">
      <c r="G807" s="75"/>
    </row>
    <row r="808" ht="15.75" customHeight="1">
      <c r="G808" s="75"/>
    </row>
    <row r="809" ht="15.75" customHeight="1">
      <c r="G809" s="75"/>
    </row>
    <row r="810" ht="15.75" customHeight="1">
      <c r="G810" s="75"/>
    </row>
    <row r="811" ht="15.75" customHeight="1">
      <c r="G811" s="75"/>
    </row>
    <row r="812" ht="15.75" customHeight="1">
      <c r="G812" s="75"/>
    </row>
    <row r="813" ht="15.75" customHeight="1">
      <c r="G813" s="75"/>
    </row>
    <row r="814" ht="15.75" customHeight="1">
      <c r="G814" s="75"/>
    </row>
    <row r="815" ht="15.75" customHeight="1">
      <c r="G815" s="75"/>
    </row>
    <row r="816" ht="15.75" customHeight="1">
      <c r="G816" s="75"/>
    </row>
    <row r="817" ht="15.75" customHeight="1">
      <c r="G817" s="75"/>
    </row>
    <row r="818" ht="15.75" customHeight="1">
      <c r="G818" s="75"/>
    </row>
    <row r="819" ht="15.75" customHeight="1">
      <c r="G819" s="75"/>
    </row>
    <row r="820" ht="15.75" customHeight="1">
      <c r="G820" s="75"/>
    </row>
    <row r="821" ht="15.75" customHeight="1">
      <c r="G821" s="75"/>
    </row>
    <row r="822" ht="15.75" customHeight="1">
      <c r="G822" s="75"/>
    </row>
    <row r="823" ht="15.75" customHeight="1">
      <c r="G823" s="75"/>
    </row>
    <row r="824" ht="15.75" customHeight="1">
      <c r="G824" s="75"/>
    </row>
    <row r="825" ht="15.75" customHeight="1">
      <c r="G825" s="75"/>
    </row>
    <row r="826" ht="15.75" customHeight="1">
      <c r="G826" s="75"/>
    </row>
    <row r="827" ht="15.75" customHeight="1">
      <c r="G827" s="75"/>
    </row>
    <row r="828" ht="15.75" customHeight="1">
      <c r="G828" s="75"/>
    </row>
    <row r="829" ht="15.75" customHeight="1">
      <c r="G829" s="75"/>
    </row>
    <row r="830" ht="15.75" customHeight="1">
      <c r="G830" s="75"/>
    </row>
    <row r="831" ht="15.75" customHeight="1">
      <c r="G831" s="75"/>
    </row>
    <row r="832" ht="15.75" customHeight="1">
      <c r="G832" s="75"/>
    </row>
    <row r="833" ht="15.75" customHeight="1">
      <c r="G833" s="75"/>
    </row>
    <row r="834" ht="15.75" customHeight="1">
      <c r="G834" s="75"/>
    </row>
    <row r="835" ht="15.75" customHeight="1">
      <c r="G835" s="75"/>
    </row>
    <row r="836" ht="15.75" customHeight="1">
      <c r="G836" s="75"/>
    </row>
    <row r="837" ht="15.75" customHeight="1">
      <c r="G837" s="75"/>
    </row>
    <row r="838" ht="15.75" customHeight="1">
      <c r="G838" s="75"/>
    </row>
    <row r="839" ht="15.75" customHeight="1">
      <c r="G839" s="75"/>
    </row>
    <row r="840" ht="15.75" customHeight="1">
      <c r="G840" s="75"/>
    </row>
    <row r="841" ht="15.75" customHeight="1">
      <c r="G841" s="75"/>
    </row>
    <row r="842" ht="15.75" customHeight="1">
      <c r="G842" s="75"/>
    </row>
    <row r="843" ht="15.75" customHeight="1">
      <c r="G843" s="75"/>
    </row>
    <row r="844" ht="15.75" customHeight="1">
      <c r="G844" s="75"/>
    </row>
    <row r="845" ht="15.75" customHeight="1">
      <c r="G845" s="75"/>
    </row>
    <row r="846" ht="15.75" customHeight="1">
      <c r="G846" s="75"/>
    </row>
    <row r="847" ht="15.75" customHeight="1">
      <c r="G847" s="75"/>
    </row>
    <row r="848" ht="15.75" customHeight="1">
      <c r="G848" s="75"/>
    </row>
    <row r="849" ht="15.75" customHeight="1">
      <c r="G849" s="75"/>
    </row>
    <row r="850" ht="15.75" customHeight="1">
      <c r="G850" s="75"/>
    </row>
    <row r="851" ht="15.75" customHeight="1">
      <c r="G851" s="75"/>
    </row>
    <row r="852" ht="15.75" customHeight="1">
      <c r="G852" s="75"/>
    </row>
    <row r="853" ht="15.75" customHeight="1">
      <c r="G853" s="75"/>
    </row>
    <row r="854" ht="15.75" customHeight="1">
      <c r="G854" s="75"/>
    </row>
    <row r="855" ht="15.75" customHeight="1">
      <c r="G855" s="75"/>
    </row>
    <row r="856" ht="15.75" customHeight="1">
      <c r="G856" s="75"/>
    </row>
    <row r="857" ht="15.75" customHeight="1">
      <c r="G857" s="75"/>
    </row>
    <row r="858" ht="15.75" customHeight="1">
      <c r="G858" s="75"/>
    </row>
    <row r="859" ht="15.75" customHeight="1">
      <c r="G859" s="75"/>
    </row>
    <row r="860" ht="15.75" customHeight="1">
      <c r="G860" s="75"/>
    </row>
    <row r="861" ht="15.75" customHeight="1">
      <c r="G861" s="75"/>
    </row>
    <row r="862" ht="15.75" customHeight="1">
      <c r="G862" s="75"/>
    </row>
    <row r="863" ht="15.75" customHeight="1">
      <c r="G863" s="75"/>
    </row>
    <row r="864" ht="15.75" customHeight="1">
      <c r="G864" s="75"/>
    </row>
    <row r="865" ht="15.75" customHeight="1">
      <c r="G865" s="75"/>
    </row>
    <row r="866" ht="15.75" customHeight="1">
      <c r="G866" s="75"/>
    </row>
    <row r="867" ht="15.75" customHeight="1">
      <c r="G867" s="75"/>
    </row>
    <row r="868" ht="15.75" customHeight="1">
      <c r="G868" s="75"/>
    </row>
    <row r="869" ht="15.75" customHeight="1">
      <c r="G869" s="75"/>
    </row>
    <row r="870" ht="15.75" customHeight="1">
      <c r="G870" s="75"/>
    </row>
    <row r="871" ht="15.75" customHeight="1">
      <c r="G871" s="75"/>
    </row>
    <row r="872" ht="15.75" customHeight="1">
      <c r="G872" s="75"/>
    </row>
    <row r="873" ht="15.75" customHeight="1">
      <c r="G873" s="75"/>
    </row>
    <row r="874" ht="15.75" customHeight="1">
      <c r="G874" s="75"/>
    </row>
    <row r="875" ht="15.75" customHeight="1">
      <c r="G875" s="75"/>
    </row>
    <row r="876" ht="15.75" customHeight="1">
      <c r="G876" s="75"/>
    </row>
    <row r="877" ht="15.75" customHeight="1">
      <c r="G877" s="75"/>
    </row>
    <row r="878" ht="15.75" customHeight="1">
      <c r="G878" s="75"/>
    </row>
    <row r="879" ht="15.75" customHeight="1">
      <c r="G879" s="75"/>
    </row>
    <row r="880" ht="15.75" customHeight="1">
      <c r="G880" s="75"/>
    </row>
    <row r="881" ht="15.75" customHeight="1">
      <c r="G881" s="75"/>
    </row>
    <row r="882" ht="15.75" customHeight="1">
      <c r="G882" s="75"/>
    </row>
    <row r="883" ht="15.75" customHeight="1">
      <c r="G883" s="75"/>
    </row>
    <row r="884" ht="15.75" customHeight="1">
      <c r="G884" s="75"/>
    </row>
    <row r="885" ht="15.75" customHeight="1">
      <c r="G885" s="75"/>
    </row>
    <row r="886" ht="15.75" customHeight="1">
      <c r="G886" s="75"/>
    </row>
    <row r="887" ht="15.75" customHeight="1">
      <c r="G887" s="75"/>
    </row>
    <row r="888" ht="15.75" customHeight="1">
      <c r="G888" s="75"/>
    </row>
    <row r="889" ht="15.75" customHeight="1">
      <c r="G889" s="75"/>
    </row>
    <row r="890" ht="15.75" customHeight="1">
      <c r="G890" s="75"/>
    </row>
    <row r="891" ht="15.75" customHeight="1">
      <c r="G891" s="75"/>
    </row>
    <row r="892" ht="15.75" customHeight="1">
      <c r="G892" s="75"/>
    </row>
    <row r="893" ht="15.75" customHeight="1">
      <c r="G893" s="75"/>
    </row>
    <row r="894" ht="15.75" customHeight="1">
      <c r="G894" s="75"/>
    </row>
    <row r="895" ht="15.75" customHeight="1">
      <c r="G895" s="75"/>
    </row>
    <row r="896" ht="15.75" customHeight="1">
      <c r="G896" s="75"/>
    </row>
    <row r="897" ht="15.75" customHeight="1">
      <c r="G897" s="75"/>
    </row>
    <row r="898" ht="15.75" customHeight="1">
      <c r="G898" s="75"/>
    </row>
    <row r="899" ht="15.75" customHeight="1">
      <c r="G899" s="75"/>
    </row>
    <row r="900" ht="15.75" customHeight="1">
      <c r="G900" s="75"/>
    </row>
    <row r="901" ht="15.75" customHeight="1">
      <c r="G901" s="75"/>
    </row>
    <row r="902" ht="15.75" customHeight="1">
      <c r="G902" s="75"/>
    </row>
    <row r="903" ht="15.75" customHeight="1">
      <c r="G903" s="75"/>
    </row>
    <row r="904" ht="15.75" customHeight="1">
      <c r="G904" s="75"/>
    </row>
    <row r="905" ht="15.75" customHeight="1">
      <c r="G905" s="75"/>
    </row>
    <row r="906" ht="15.75" customHeight="1">
      <c r="G906" s="75"/>
    </row>
    <row r="907" ht="15.75" customHeight="1">
      <c r="G907" s="75"/>
    </row>
    <row r="908" ht="15.75" customHeight="1">
      <c r="G908" s="75"/>
    </row>
    <row r="909" ht="15.75" customHeight="1">
      <c r="G909" s="75"/>
    </row>
    <row r="910" ht="15.75" customHeight="1">
      <c r="G910" s="75"/>
    </row>
    <row r="911" ht="15.75" customHeight="1">
      <c r="G911" s="75"/>
    </row>
    <row r="912" ht="15.75" customHeight="1">
      <c r="G912" s="75"/>
    </row>
    <row r="913" ht="15.75" customHeight="1">
      <c r="G913" s="75"/>
    </row>
    <row r="914" ht="15.75" customHeight="1">
      <c r="G914" s="75"/>
    </row>
    <row r="915" ht="15.75" customHeight="1">
      <c r="G915" s="75"/>
    </row>
    <row r="916" ht="15.75" customHeight="1">
      <c r="G916" s="75"/>
    </row>
    <row r="917" ht="15.75" customHeight="1">
      <c r="G917" s="75"/>
    </row>
    <row r="918" ht="15.75" customHeight="1">
      <c r="G918" s="75"/>
    </row>
    <row r="919" ht="15.75" customHeight="1">
      <c r="G919" s="75"/>
    </row>
    <row r="920" ht="15.75" customHeight="1">
      <c r="G920" s="75"/>
    </row>
    <row r="921" ht="15.75" customHeight="1">
      <c r="G921" s="75"/>
    </row>
    <row r="922" ht="15.75" customHeight="1">
      <c r="G922" s="75"/>
    </row>
    <row r="923" ht="15.75" customHeight="1">
      <c r="G923" s="75"/>
    </row>
    <row r="924" ht="15.75" customHeight="1">
      <c r="G924" s="75"/>
    </row>
    <row r="925" ht="15.75" customHeight="1">
      <c r="G925" s="75"/>
    </row>
    <row r="926" ht="15.75" customHeight="1">
      <c r="G926" s="75"/>
    </row>
    <row r="927" ht="15.75" customHeight="1">
      <c r="G927" s="75"/>
    </row>
    <row r="928" ht="15.75" customHeight="1">
      <c r="G928" s="75"/>
    </row>
    <row r="929" ht="15.75" customHeight="1">
      <c r="G929" s="75"/>
    </row>
    <row r="930" ht="15.75" customHeight="1">
      <c r="G930" s="75"/>
    </row>
    <row r="931" ht="15.75" customHeight="1">
      <c r="G931" s="75"/>
    </row>
    <row r="932" ht="15.75" customHeight="1">
      <c r="G932" s="75"/>
    </row>
    <row r="933" ht="15.75" customHeight="1">
      <c r="G933" s="75"/>
    </row>
    <row r="934" ht="15.75" customHeight="1">
      <c r="G934" s="75"/>
    </row>
    <row r="935" ht="15.75" customHeight="1">
      <c r="G935" s="75"/>
    </row>
    <row r="936" ht="15.75" customHeight="1">
      <c r="G936" s="75"/>
    </row>
    <row r="937" ht="15.75" customHeight="1">
      <c r="G937" s="75"/>
    </row>
    <row r="938" ht="15.75" customHeight="1">
      <c r="G938" s="75"/>
    </row>
    <row r="939" ht="15.75" customHeight="1">
      <c r="G939" s="75"/>
    </row>
    <row r="940" ht="15.75" customHeight="1">
      <c r="G940" s="75"/>
    </row>
    <row r="941" ht="15.75" customHeight="1">
      <c r="G941" s="75"/>
    </row>
    <row r="942" ht="15.75" customHeight="1">
      <c r="G942" s="75"/>
    </row>
    <row r="943" ht="15.75" customHeight="1">
      <c r="G943" s="75"/>
    </row>
    <row r="944" ht="15.75" customHeight="1">
      <c r="G944" s="75"/>
    </row>
    <row r="945" ht="15.75" customHeight="1">
      <c r="G945" s="75"/>
    </row>
    <row r="946" ht="15.75" customHeight="1">
      <c r="G946" s="75"/>
    </row>
    <row r="947" ht="15.75" customHeight="1">
      <c r="G947" s="75"/>
    </row>
    <row r="948" ht="15.75" customHeight="1">
      <c r="G948" s="75"/>
    </row>
    <row r="949" ht="15.75" customHeight="1">
      <c r="G949" s="75"/>
    </row>
    <row r="950" ht="15.75" customHeight="1">
      <c r="G950" s="75"/>
    </row>
    <row r="951" ht="15.75" customHeight="1">
      <c r="G951" s="75"/>
    </row>
    <row r="952" ht="15.75" customHeight="1">
      <c r="G952" s="75"/>
    </row>
    <row r="953" ht="15.75" customHeight="1">
      <c r="G953" s="75"/>
    </row>
    <row r="954" ht="15.75" customHeight="1">
      <c r="G954" s="75"/>
    </row>
    <row r="955" ht="15.75" customHeight="1">
      <c r="G955" s="75"/>
    </row>
    <row r="956" ht="15.75" customHeight="1">
      <c r="G956" s="75"/>
    </row>
    <row r="957" ht="15.75" customHeight="1">
      <c r="G957" s="75"/>
    </row>
    <row r="958" ht="15.75" customHeight="1">
      <c r="G958" s="75"/>
    </row>
    <row r="959" ht="15.75" customHeight="1">
      <c r="G959" s="75"/>
    </row>
    <row r="960" ht="15.75" customHeight="1">
      <c r="G960" s="75"/>
    </row>
    <row r="961" ht="15.75" customHeight="1">
      <c r="G961" s="75"/>
    </row>
    <row r="962" ht="15.75" customHeight="1">
      <c r="G962" s="75"/>
    </row>
    <row r="963" ht="15.75" customHeight="1">
      <c r="G963" s="75"/>
    </row>
    <row r="964" ht="15.75" customHeight="1">
      <c r="G964" s="75"/>
    </row>
    <row r="965" ht="15.75" customHeight="1">
      <c r="G965" s="75"/>
    </row>
    <row r="966" ht="15.75" customHeight="1">
      <c r="G966" s="75"/>
    </row>
    <row r="967" ht="15.75" customHeight="1">
      <c r="G967" s="75"/>
    </row>
    <row r="968" ht="15.75" customHeight="1">
      <c r="G968" s="75"/>
    </row>
    <row r="969" ht="15.75" customHeight="1">
      <c r="G969" s="75"/>
    </row>
    <row r="970" ht="15.75" customHeight="1">
      <c r="G970" s="75"/>
    </row>
    <row r="971" ht="15.75" customHeight="1">
      <c r="G971" s="75"/>
    </row>
    <row r="972" ht="15.75" customHeight="1">
      <c r="G972" s="75"/>
    </row>
    <row r="973" ht="15.75" customHeight="1">
      <c r="G973" s="75"/>
    </row>
    <row r="974" ht="15.75" customHeight="1">
      <c r="G974" s="75"/>
    </row>
    <row r="975" ht="15.75" customHeight="1">
      <c r="G975" s="75"/>
    </row>
    <row r="976" ht="15.75" customHeight="1">
      <c r="G976" s="75"/>
    </row>
    <row r="977" ht="15.75" customHeight="1">
      <c r="G977" s="75"/>
    </row>
    <row r="978" ht="15.75" customHeight="1">
      <c r="G978" s="75"/>
    </row>
    <row r="979" ht="15.75" customHeight="1">
      <c r="G979" s="75"/>
    </row>
    <row r="980" ht="15.75" customHeight="1">
      <c r="G980" s="75"/>
    </row>
    <row r="981" ht="15.75" customHeight="1">
      <c r="G981" s="75"/>
    </row>
    <row r="982" ht="15.75" customHeight="1">
      <c r="G982" s="75"/>
    </row>
    <row r="983" ht="15.75" customHeight="1">
      <c r="G983" s="75"/>
    </row>
    <row r="984" ht="15.75" customHeight="1">
      <c r="G984" s="75"/>
    </row>
    <row r="985" ht="15.75" customHeight="1">
      <c r="G985" s="75"/>
    </row>
    <row r="986" ht="15.75" customHeight="1">
      <c r="G986" s="75"/>
    </row>
    <row r="987" ht="15.75" customHeight="1">
      <c r="G987" s="75"/>
    </row>
    <row r="988" ht="15.75" customHeight="1">
      <c r="G988" s="75"/>
    </row>
    <row r="989" ht="15.75" customHeight="1">
      <c r="G989" s="75"/>
    </row>
    <row r="990" ht="15.75" customHeight="1">
      <c r="G990" s="75"/>
    </row>
    <row r="991" ht="15.75" customHeight="1">
      <c r="G991" s="75"/>
    </row>
    <row r="992" ht="15.75" customHeight="1">
      <c r="G992" s="75"/>
    </row>
    <row r="993" ht="15.75" customHeight="1">
      <c r="G993" s="75"/>
    </row>
    <row r="994" ht="15.75" customHeight="1">
      <c r="G994" s="75"/>
    </row>
    <row r="995" ht="15.75" customHeight="1">
      <c r="G995" s="75"/>
    </row>
    <row r="996" ht="15.75" customHeight="1">
      <c r="G996" s="75"/>
    </row>
    <row r="997" ht="15.75" customHeight="1">
      <c r="G997" s="75"/>
    </row>
    <row r="998" ht="15.75" customHeight="1">
      <c r="G998" s="75"/>
    </row>
    <row r="999" ht="15.75" customHeight="1">
      <c r="G999" s="75"/>
    </row>
    <row r="1000" ht="15.75" customHeight="1">
      <c r="G1000" s="75"/>
    </row>
  </sheetData>
  <mergeCells count="5">
    <mergeCell ref="U1:X1"/>
    <mergeCell ref="AC2:AD2"/>
    <mergeCell ref="AE2:AF2"/>
    <mergeCell ref="AG2:AH2"/>
    <mergeCell ref="AI2:AJ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63"/>
    <col customWidth="1" min="2" max="2" width="36.75"/>
    <col customWidth="1" min="3" max="3" width="20.13"/>
    <col customWidth="1" min="4" max="4" width="8.38"/>
    <col customWidth="1" min="5" max="5" width="7.13"/>
    <col customWidth="1" min="6" max="7" width="8.25"/>
    <col customWidth="1" min="8" max="8" width="7.0"/>
    <col customWidth="1" min="9" max="9" width="6.25"/>
    <col customWidth="1" min="10" max="10" width="7.88"/>
    <col customWidth="1" min="11" max="11" width="11.63"/>
    <col customWidth="1" min="12" max="12" width="12.25"/>
    <col customWidth="1" min="13" max="13" width="10.25"/>
    <col customWidth="1" min="14" max="14" width="12.38"/>
    <col customWidth="1" min="15" max="15" width="18.88"/>
    <col customWidth="1" min="16" max="16" width="8.25"/>
    <col customWidth="1" min="17" max="17" width="10.38"/>
    <col customWidth="1" min="18" max="18" width="11.25"/>
    <col customWidth="1" min="19" max="19" width="11.75"/>
    <col customWidth="1" min="20" max="21" width="8.75"/>
    <col customWidth="1" min="22" max="22" width="13.75"/>
    <col customWidth="1" min="23" max="23" width="10.88"/>
    <col customWidth="1" min="24" max="24" width="8.13"/>
    <col customWidth="1" min="25" max="25" width="10.25"/>
    <col customWidth="1" min="26" max="26" width="10.38"/>
    <col customWidth="1" min="27" max="27" width="10.5"/>
    <col customWidth="1" min="28" max="28" width="9.5"/>
    <col customWidth="1" min="29" max="36" width="7.63"/>
  </cols>
  <sheetData>
    <row r="1" ht="12.75" customHeight="1">
      <c r="A1" s="74"/>
      <c r="G1" s="75"/>
      <c r="K1" s="76"/>
      <c r="L1" s="77"/>
      <c r="M1" s="77"/>
      <c r="N1" s="77"/>
      <c r="O1" s="77"/>
      <c r="P1" s="77"/>
      <c r="Q1" s="77"/>
      <c r="R1" s="76" t="s">
        <v>117</v>
      </c>
      <c r="S1" s="76"/>
      <c r="T1" s="76"/>
      <c r="U1" s="78" t="s">
        <v>118</v>
      </c>
      <c r="V1" s="79"/>
      <c r="W1" s="79"/>
      <c r="X1" s="80"/>
    </row>
    <row r="2" ht="79.5" customHeight="1">
      <c r="A2" s="74" t="s">
        <v>119</v>
      </c>
      <c r="B2" s="81" t="s">
        <v>0</v>
      </c>
      <c r="C2" s="82" t="s">
        <v>1</v>
      </c>
      <c r="D2" s="83" t="s">
        <v>120</v>
      </c>
      <c r="E2" s="84" t="s">
        <v>121</v>
      </c>
      <c r="F2" s="82" t="s">
        <v>122</v>
      </c>
      <c r="G2" s="82" t="s">
        <v>123</v>
      </c>
      <c r="H2" s="85" t="s">
        <v>124</v>
      </c>
      <c r="I2" s="86" t="s">
        <v>125</v>
      </c>
      <c r="J2" s="86" t="s">
        <v>126</v>
      </c>
      <c r="K2" s="87" t="s">
        <v>127</v>
      </c>
      <c r="L2" s="88"/>
      <c r="M2" s="89" t="s">
        <v>128</v>
      </c>
      <c r="N2" s="89" t="s">
        <v>129</v>
      </c>
      <c r="O2" s="89" t="s">
        <v>130</v>
      </c>
      <c r="P2" s="89"/>
      <c r="Q2" s="90" t="s">
        <v>131</v>
      </c>
      <c r="R2" s="91" t="s">
        <v>132</v>
      </c>
      <c r="S2" s="92" t="s">
        <v>131</v>
      </c>
      <c r="T2" s="92" t="s">
        <v>2</v>
      </c>
      <c r="U2" s="93" t="s">
        <v>132</v>
      </c>
      <c r="V2" s="94" t="s">
        <v>131</v>
      </c>
      <c r="W2" s="94" t="s">
        <v>133</v>
      </c>
      <c r="X2" s="95" t="s">
        <v>134</v>
      </c>
      <c r="Y2" s="96"/>
      <c r="Z2" s="34"/>
      <c r="AA2" s="97"/>
      <c r="AB2" s="34"/>
      <c r="AC2" s="98" t="s">
        <v>5</v>
      </c>
      <c r="AD2" s="99"/>
      <c r="AE2" s="98" t="s">
        <v>6</v>
      </c>
      <c r="AF2" s="99"/>
      <c r="AG2" s="98" t="s">
        <v>7</v>
      </c>
      <c r="AH2" s="99"/>
      <c r="AI2" s="98" t="s">
        <v>8</v>
      </c>
      <c r="AJ2" s="99"/>
    </row>
    <row r="3" ht="12.75" customHeight="1">
      <c r="A3" s="100"/>
      <c r="C3" s="49"/>
      <c r="D3" s="49"/>
      <c r="E3" s="49"/>
      <c r="F3" s="101"/>
      <c r="G3" s="49"/>
      <c r="H3" s="102"/>
      <c r="I3" s="103"/>
      <c r="J3" s="103"/>
      <c r="K3" s="104"/>
      <c r="L3" s="88"/>
      <c r="M3" s="88"/>
      <c r="N3" s="88"/>
      <c r="O3" s="88"/>
      <c r="P3" s="88"/>
      <c r="Q3" s="105">
        <f t="shared" ref="Q3:Q6" si="1">O3*X3</f>
        <v>0</v>
      </c>
      <c r="R3" s="106"/>
      <c r="S3" s="107"/>
      <c r="T3" s="107"/>
      <c r="U3" s="108"/>
      <c r="V3" s="109"/>
      <c r="W3" s="109"/>
      <c r="X3" s="109"/>
      <c r="AC3" s="110" t="s">
        <v>78</v>
      </c>
      <c r="AD3" s="111" t="s">
        <v>79</v>
      </c>
      <c r="AE3" s="110" t="s">
        <v>78</v>
      </c>
      <c r="AF3" s="111" t="s">
        <v>79</v>
      </c>
      <c r="AG3" s="110" t="s">
        <v>78</v>
      </c>
      <c r="AH3" s="111" t="s">
        <v>79</v>
      </c>
      <c r="AI3" s="110" t="s">
        <v>78</v>
      </c>
      <c r="AJ3" s="111" t="s">
        <v>79</v>
      </c>
    </row>
    <row r="4" ht="22.5" customHeight="1">
      <c r="A4" s="60" t="s">
        <v>135</v>
      </c>
      <c r="B4" s="112" t="s">
        <v>15</v>
      </c>
      <c r="C4" s="112"/>
      <c r="D4" s="113">
        <v>5.0</v>
      </c>
      <c r="E4" s="14"/>
      <c r="F4" s="249">
        <v>110.4</v>
      </c>
      <c r="G4" s="115"/>
      <c r="H4" s="116">
        <f t="shared" ref="H4:H21" si="2">F4*D4</f>
        <v>552</v>
      </c>
      <c r="I4" s="117">
        <f t="shared" ref="I4:I27" si="3">H4/720</f>
        <v>0.7666666667</v>
      </c>
      <c r="J4" s="117">
        <f t="shared" ref="J4:J20" si="4">I4</f>
        <v>0.7666666667</v>
      </c>
      <c r="K4" s="118"/>
      <c r="L4" s="88"/>
      <c r="M4" s="105"/>
      <c r="N4" s="105"/>
      <c r="O4" s="105"/>
      <c r="P4" s="105"/>
      <c r="Q4" s="105">
        <f t="shared" si="1"/>
        <v>0</v>
      </c>
      <c r="R4" s="119"/>
      <c r="S4" s="120">
        <f t="shared" ref="S4:S20" si="5">I4*T4</f>
        <v>191666.6667</v>
      </c>
      <c r="T4" s="121">
        <v>250000.0</v>
      </c>
      <c r="U4" s="122"/>
      <c r="V4" s="123">
        <f t="shared" ref="V4:V19" si="6">(H4/10)*X4</f>
        <v>149040</v>
      </c>
      <c r="W4" s="123">
        <f t="shared" ref="W4:W20" si="7">H4*X4</f>
        <v>1490400</v>
      </c>
      <c r="X4" s="124">
        <v>2700.0</v>
      </c>
      <c r="Y4" s="125">
        <v>96.0</v>
      </c>
      <c r="Z4" s="126">
        <f t="shared" ref="Z4:Z19" si="8">F4-Y4</f>
        <v>14.4</v>
      </c>
    </row>
    <row r="5" ht="21.75" customHeight="1">
      <c r="A5" s="60" t="s">
        <v>136</v>
      </c>
      <c r="B5" s="250" t="s">
        <v>25</v>
      </c>
      <c r="C5" s="250"/>
      <c r="D5" s="160">
        <v>5.0</v>
      </c>
      <c r="E5" s="161"/>
      <c r="F5" s="249">
        <v>110.4</v>
      </c>
      <c r="G5" s="115"/>
      <c r="H5" s="116">
        <f t="shared" si="2"/>
        <v>552</v>
      </c>
      <c r="I5" s="117">
        <f t="shared" si="3"/>
        <v>0.7666666667</v>
      </c>
      <c r="J5" s="117">
        <f t="shared" si="4"/>
        <v>0.7666666667</v>
      </c>
      <c r="K5" s="118"/>
      <c r="L5" s="88"/>
      <c r="M5" s="105"/>
      <c r="N5" s="105"/>
      <c r="O5" s="105"/>
      <c r="P5" s="105"/>
      <c r="Q5" s="105">
        <f t="shared" si="1"/>
        <v>0</v>
      </c>
      <c r="R5" s="119"/>
      <c r="S5" s="120">
        <f t="shared" si="5"/>
        <v>191666.6667</v>
      </c>
      <c r="T5" s="121">
        <v>250000.0</v>
      </c>
      <c r="U5" s="122"/>
      <c r="V5" s="123">
        <f t="shared" si="6"/>
        <v>149040</v>
      </c>
      <c r="W5" s="123">
        <f t="shared" si="7"/>
        <v>1490400</v>
      </c>
      <c r="X5" s="124">
        <v>2700.0</v>
      </c>
      <c r="Y5" s="125">
        <v>96.0</v>
      </c>
      <c r="Z5" s="126">
        <f t="shared" si="8"/>
        <v>14.4</v>
      </c>
    </row>
    <row r="6" ht="20.25" customHeight="1">
      <c r="A6" s="60" t="s">
        <v>137</v>
      </c>
      <c r="B6" s="251" t="s">
        <v>22</v>
      </c>
      <c r="C6" s="159"/>
      <c r="D6" s="160">
        <v>5.0</v>
      </c>
      <c r="E6" s="161"/>
      <c r="F6" s="114">
        <v>96.0</v>
      </c>
      <c r="G6" s="115"/>
      <c r="H6" s="116">
        <f t="shared" si="2"/>
        <v>480</v>
      </c>
      <c r="I6" s="117">
        <f t="shared" si="3"/>
        <v>0.6666666667</v>
      </c>
      <c r="J6" s="117">
        <f t="shared" si="4"/>
        <v>0.6666666667</v>
      </c>
      <c r="K6" s="118"/>
      <c r="L6" s="88"/>
      <c r="M6" s="105"/>
      <c r="N6" s="105"/>
      <c r="O6" s="105"/>
      <c r="P6" s="105"/>
      <c r="Q6" s="105">
        <f t="shared" si="1"/>
        <v>0</v>
      </c>
      <c r="R6" s="119"/>
      <c r="S6" s="120">
        <f t="shared" si="5"/>
        <v>166666.6667</v>
      </c>
      <c r="T6" s="121">
        <v>250000.0</v>
      </c>
      <c r="U6" s="122"/>
      <c r="V6" s="123">
        <f t="shared" si="6"/>
        <v>129600</v>
      </c>
      <c r="W6" s="123">
        <f t="shared" si="7"/>
        <v>1296000</v>
      </c>
      <c r="X6" s="124">
        <v>2700.0</v>
      </c>
      <c r="Y6" s="125">
        <v>96.0</v>
      </c>
      <c r="Z6" s="126">
        <f t="shared" si="8"/>
        <v>0</v>
      </c>
    </row>
    <row r="7" ht="20.25" customHeight="1">
      <c r="A7" s="60" t="s">
        <v>138</v>
      </c>
      <c r="B7" s="158" t="s">
        <v>27</v>
      </c>
      <c r="C7" s="159"/>
      <c r="D7" s="160">
        <v>5.0</v>
      </c>
      <c r="E7" s="161"/>
      <c r="F7" s="114">
        <v>96.0</v>
      </c>
      <c r="G7" s="115"/>
      <c r="H7" s="116">
        <f t="shared" si="2"/>
        <v>480</v>
      </c>
      <c r="I7" s="117">
        <f t="shared" si="3"/>
        <v>0.6666666667</v>
      </c>
      <c r="J7" s="117">
        <f t="shared" si="4"/>
        <v>0.6666666667</v>
      </c>
      <c r="K7" s="118"/>
      <c r="L7" s="88"/>
      <c r="M7" s="105"/>
      <c r="N7" s="105"/>
      <c r="O7" s="105"/>
      <c r="P7" s="105"/>
      <c r="Q7" s="136"/>
      <c r="R7" s="120"/>
      <c r="S7" s="120">
        <f t="shared" si="5"/>
        <v>166666.6667</v>
      </c>
      <c r="T7" s="121">
        <v>250000.0</v>
      </c>
      <c r="U7" s="122"/>
      <c r="V7" s="123">
        <f t="shared" si="6"/>
        <v>129600</v>
      </c>
      <c r="W7" s="123">
        <f t="shared" si="7"/>
        <v>1296000</v>
      </c>
      <c r="X7" s="124">
        <v>2700.0</v>
      </c>
      <c r="Y7" s="125">
        <v>96.0</v>
      </c>
      <c r="Z7" s="126">
        <f t="shared" si="8"/>
        <v>0</v>
      </c>
    </row>
    <row r="8" ht="21.0" customHeight="1">
      <c r="A8" s="60" t="s">
        <v>139</v>
      </c>
      <c r="B8" s="158" t="s">
        <v>80</v>
      </c>
      <c r="C8" s="159"/>
      <c r="D8" s="160">
        <v>5.0</v>
      </c>
      <c r="E8" s="161"/>
      <c r="F8" s="249">
        <v>110.4</v>
      </c>
      <c r="G8" s="115"/>
      <c r="H8" s="116">
        <f t="shared" si="2"/>
        <v>552</v>
      </c>
      <c r="I8" s="117">
        <f t="shared" si="3"/>
        <v>0.7666666667</v>
      </c>
      <c r="J8" s="117">
        <f t="shared" si="4"/>
        <v>0.7666666667</v>
      </c>
      <c r="K8" s="118"/>
      <c r="L8" s="88"/>
      <c r="M8" s="105"/>
      <c r="N8" s="105"/>
      <c r="O8" s="105"/>
      <c r="P8" s="105"/>
      <c r="Q8" s="136"/>
      <c r="R8" s="120"/>
      <c r="S8" s="120">
        <f t="shared" si="5"/>
        <v>191666.6667</v>
      </c>
      <c r="T8" s="121">
        <v>250000.0</v>
      </c>
      <c r="U8" s="122"/>
      <c r="V8" s="123">
        <f t="shared" si="6"/>
        <v>149040</v>
      </c>
      <c r="W8" s="123">
        <f t="shared" si="7"/>
        <v>1490400</v>
      </c>
      <c r="X8" s="124">
        <v>2700.0</v>
      </c>
      <c r="Y8" s="125">
        <v>72.0</v>
      </c>
      <c r="Z8" s="126">
        <f t="shared" si="8"/>
        <v>38.4</v>
      </c>
    </row>
    <row r="9" ht="20.25" customHeight="1">
      <c r="A9" s="60" t="s">
        <v>140</v>
      </c>
      <c r="B9" s="158" t="s">
        <v>30</v>
      </c>
      <c r="C9" s="159"/>
      <c r="D9" s="160">
        <v>5.0</v>
      </c>
      <c r="E9" s="161"/>
      <c r="F9" s="249">
        <v>110.4</v>
      </c>
      <c r="G9" s="115"/>
      <c r="H9" s="116">
        <f t="shared" si="2"/>
        <v>552</v>
      </c>
      <c r="I9" s="117">
        <f t="shared" si="3"/>
        <v>0.7666666667</v>
      </c>
      <c r="J9" s="117">
        <f t="shared" si="4"/>
        <v>0.7666666667</v>
      </c>
      <c r="K9" s="118"/>
      <c r="L9" s="88"/>
      <c r="M9" s="105"/>
      <c r="N9" s="105"/>
      <c r="O9" s="105"/>
      <c r="P9" s="105"/>
      <c r="Q9" s="136"/>
      <c r="R9" s="120"/>
      <c r="S9" s="120">
        <f t="shared" si="5"/>
        <v>191666.6667</v>
      </c>
      <c r="T9" s="121">
        <v>250000.0</v>
      </c>
      <c r="U9" s="122"/>
      <c r="V9" s="123">
        <f t="shared" si="6"/>
        <v>149040</v>
      </c>
      <c r="W9" s="123">
        <f t="shared" si="7"/>
        <v>1490400</v>
      </c>
      <c r="X9" s="124">
        <v>2700.0</v>
      </c>
      <c r="Y9" s="125">
        <v>120.0</v>
      </c>
      <c r="Z9" s="126">
        <f t="shared" si="8"/>
        <v>-9.6</v>
      </c>
    </row>
    <row r="10" ht="21.75" customHeight="1">
      <c r="A10" s="60" t="s">
        <v>141</v>
      </c>
      <c r="B10" s="158" t="s">
        <v>46</v>
      </c>
      <c r="C10" s="159"/>
      <c r="D10" s="160">
        <v>5.0</v>
      </c>
      <c r="E10" s="161"/>
      <c r="F10" s="114">
        <v>72.0</v>
      </c>
      <c r="G10" s="115"/>
      <c r="H10" s="116">
        <f t="shared" si="2"/>
        <v>360</v>
      </c>
      <c r="I10" s="117">
        <f t="shared" si="3"/>
        <v>0.5</v>
      </c>
      <c r="J10" s="117">
        <f t="shared" si="4"/>
        <v>0.5</v>
      </c>
      <c r="K10" s="118"/>
      <c r="L10" s="88"/>
      <c r="M10" s="105"/>
      <c r="N10" s="105"/>
      <c r="O10" s="105"/>
      <c r="P10" s="105"/>
      <c r="Q10" s="136"/>
      <c r="R10" s="120"/>
      <c r="S10" s="120">
        <f t="shared" si="5"/>
        <v>125000</v>
      </c>
      <c r="T10" s="121">
        <v>250000.0</v>
      </c>
      <c r="U10" s="122"/>
      <c r="V10" s="123">
        <f t="shared" si="6"/>
        <v>97200</v>
      </c>
      <c r="W10" s="123">
        <f t="shared" si="7"/>
        <v>972000</v>
      </c>
      <c r="X10" s="124">
        <v>2700.0</v>
      </c>
      <c r="Y10" s="125">
        <v>48.0</v>
      </c>
      <c r="Z10" s="126">
        <f t="shared" si="8"/>
        <v>24</v>
      </c>
    </row>
    <row r="11" ht="24.0" customHeight="1">
      <c r="A11" s="60" t="s">
        <v>142</v>
      </c>
      <c r="B11" s="135" t="s">
        <v>36</v>
      </c>
      <c r="C11" s="112"/>
      <c r="D11" s="113">
        <v>2.5</v>
      </c>
      <c r="E11" s="14"/>
      <c r="F11" s="114">
        <v>96.0</v>
      </c>
      <c r="G11" s="115"/>
      <c r="H11" s="116">
        <f t="shared" si="2"/>
        <v>240</v>
      </c>
      <c r="I11" s="117">
        <f t="shared" si="3"/>
        <v>0.3333333333</v>
      </c>
      <c r="J11" s="117">
        <f t="shared" si="4"/>
        <v>0.3333333333</v>
      </c>
      <c r="K11" s="118"/>
      <c r="L11" s="88"/>
      <c r="M11" s="105"/>
      <c r="N11" s="105"/>
      <c r="O11" s="105"/>
      <c r="P11" s="105"/>
      <c r="Q11" s="136"/>
      <c r="R11" s="120"/>
      <c r="S11" s="120">
        <f t="shared" si="5"/>
        <v>83333.33333</v>
      </c>
      <c r="T11" s="121">
        <v>250000.0</v>
      </c>
      <c r="U11" s="122"/>
      <c r="V11" s="123">
        <f t="shared" si="6"/>
        <v>96000</v>
      </c>
      <c r="W11" s="123">
        <f t="shared" si="7"/>
        <v>960000</v>
      </c>
      <c r="X11" s="124">
        <v>4000.0</v>
      </c>
      <c r="Y11" s="125">
        <v>96.0</v>
      </c>
      <c r="Z11" s="126">
        <f t="shared" si="8"/>
        <v>0</v>
      </c>
    </row>
    <row r="12" ht="21.75" customHeight="1">
      <c r="A12" s="60" t="s">
        <v>143</v>
      </c>
      <c r="B12" s="135" t="s">
        <v>81</v>
      </c>
      <c r="C12" s="112"/>
      <c r="D12" s="113">
        <v>2.0</v>
      </c>
      <c r="E12" s="14"/>
      <c r="F12" s="114">
        <v>120.0</v>
      </c>
      <c r="G12" s="115"/>
      <c r="H12" s="116">
        <f t="shared" si="2"/>
        <v>240</v>
      </c>
      <c r="I12" s="117">
        <f t="shared" si="3"/>
        <v>0.3333333333</v>
      </c>
      <c r="J12" s="117">
        <f t="shared" si="4"/>
        <v>0.3333333333</v>
      </c>
      <c r="K12" s="118"/>
      <c r="L12" s="88"/>
      <c r="M12" s="105"/>
      <c r="N12" s="105"/>
      <c r="O12" s="105"/>
      <c r="P12" s="105"/>
      <c r="Q12" s="136"/>
      <c r="R12" s="120"/>
      <c r="S12" s="120">
        <f t="shared" si="5"/>
        <v>83333.33333</v>
      </c>
      <c r="T12" s="121">
        <v>250000.0</v>
      </c>
      <c r="U12" s="122"/>
      <c r="V12" s="123">
        <f t="shared" si="6"/>
        <v>96000</v>
      </c>
      <c r="W12" s="123">
        <f t="shared" si="7"/>
        <v>960000</v>
      </c>
      <c r="X12" s="124">
        <v>4000.0</v>
      </c>
      <c r="Y12" s="125">
        <v>120.0</v>
      </c>
      <c r="Z12" s="126">
        <f t="shared" si="8"/>
        <v>0</v>
      </c>
    </row>
    <row r="13" ht="21.75" customHeight="1">
      <c r="A13" s="60" t="s">
        <v>144</v>
      </c>
      <c r="B13" s="158" t="s">
        <v>34</v>
      </c>
      <c r="C13" s="159"/>
      <c r="D13" s="160">
        <v>5.0</v>
      </c>
      <c r="E13" s="161"/>
      <c r="F13" s="249">
        <v>110.4</v>
      </c>
      <c r="G13" s="115"/>
      <c r="H13" s="116">
        <f t="shared" si="2"/>
        <v>552</v>
      </c>
      <c r="I13" s="117">
        <f t="shared" si="3"/>
        <v>0.7666666667</v>
      </c>
      <c r="J13" s="117">
        <f t="shared" si="4"/>
        <v>0.7666666667</v>
      </c>
      <c r="K13" s="118"/>
      <c r="L13" s="88"/>
      <c r="M13" s="105"/>
      <c r="N13" s="105"/>
      <c r="O13" s="105"/>
      <c r="P13" s="105"/>
      <c r="Q13" s="136"/>
      <c r="R13" s="120"/>
      <c r="S13" s="120">
        <f t="shared" si="5"/>
        <v>191666.6667</v>
      </c>
      <c r="T13" s="121">
        <v>250000.0</v>
      </c>
      <c r="U13" s="122"/>
      <c r="V13" s="123">
        <f t="shared" si="6"/>
        <v>149040</v>
      </c>
      <c r="W13" s="123">
        <f t="shared" si="7"/>
        <v>1490400</v>
      </c>
      <c r="X13" s="124">
        <v>2700.0</v>
      </c>
      <c r="Y13" s="125">
        <v>96.0</v>
      </c>
      <c r="Z13" s="126">
        <f t="shared" si="8"/>
        <v>14.4</v>
      </c>
    </row>
    <row r="14" ht="24.0" customHeight="1">
      <c r="A14" s="60" t="s">
        <v>145</v>
      </c>
      <c r="B14" s="158" t="s">
        <v>38</v>
      </c>
      <c r="C14" s="159"/>
      <c r="D14" s="160">
        <v>5.0</v>
      </c>
      <c r="E14" s="161"/>
      <c r="F14" s="114">
        <v>96.0</v>
      </c>
      <c r="G14" s="115"/>
      <c r="H14" s="116">
        <f t="shared" si="2"/>
        <v>480</v>
      </c>
      <c r="I14" s="117">
        <f t="shared" si="3"/>
        <v>0.6666666667</v>
      </c>
      <c r="J14" s="117">
        <f t="shared" si="4"/>
        <v>0.6666666667</v>
      </c>
      <c r="K14" s="118"/>
      <c r="L14" s="88"/>
      <c r="M14" s="105"/>
      <c r="N14" s="105"/>
      <c r="O14" s="105"/>
      <c r="P14" s="105"/>
      <c r="Q14" s="136"/>
      <c r="R14" s="120"/>
      <c r="S14" s="120">
        <f t="shared" si="5"/>
        <v>166666.6667</v>
      </c>
      <c r="T14" s="121">
        <v>250000.0</v>
      </c>
      <c r="U14" s="122"/>
      <c r="V14" s="123">
        <f t="shared" si="6"/>
        <v>129600</v>
      </c>
      <c r="W14" s="123">
        <f t="shared" si="7"/>
        <v>1296000</v>
      </c>
      <c r="X14" s="124">
        <v>2700.0</v>
      </c>
      <c r="Y14" s="125">
        <v>96.0</v>
      </c>
      <c r="Z14" s="126">
        <f t="shared" si="8"/>
        <v>0</v>
      </c>
    </row>
    <row r="15" ht="21.0" customHeight="1">
      <c r="A15" s="60" t="s">
        <v>146</v>
      </c>
      <c r="B15" s="158" t="s">
        <v>82</v>
      </c>
      <c r="C15" s="159"/>
      <c r="D15" s="160">
        <v>5.0</v>
      </c>
      <c r="E15" s="161"/>
      <c r="F15" s="249">
        <v>110.4</v>
      </c>
      <c r="G15" s="115"/>
      <c r="H15" s="116">
        <f t="shared" si="2"/>
        <v>552</v>
      </c>
      <c r="I15" s="117">
        <f t="shared" si="3"/>
        <v>0.7666666667</v>
      </c>
      <c r="J15" s="117">
        <f t="shared" si="4"/>
        <v>0.7666666667</v>
      </c>
      <c r="K15" s="118"/>
      <c r="L15" s="88"/>
      <c r="M15" s="105"/>
      <c r="N15" s="105"/>
      <c r="O15" s="105"/>
      <c r="P15" s="105"/>
      <c r="Q15" s="136"/>
      <c r="R15" s="120"/>
      <c r="S15" s="120">
        <f t="shared" si="5"/>
        <v>191666.6667</v>
      </c>
      <c r="T15" s="121">
        <v>250000.0</v>
      </c>
      <c r="U15" s="122"/>
      <c r="V15" s="123">
        <f t="shared" si="6"/>
        <v>149040</v>
      </c>
      <c r="W15" s="123">
        <f t="shared" si="7"/>
        <v>1490400</v>
      </c>
      <c r="X15" s="162">
        <v>2700.0</v>
      </c>
      <c r="Y15" s="125">
        <v>96.0</v>
      </c>
      <c r="Z15" s="126">
        <f t="shared" si="8"/>
        <v>14.4</v>
      </c>
    </row>
    <row r="16" ht="21.0" customHeight="1">
      <c r="A16" s="60" t="s">
        <v>147</v>
      </c>
      <c r="B16" s="158" t="s">
        <v>83</v>
      </c>
      <c r="C16" s="159"/>
      <c r="D16" s="160">
        <v>2.5</v>
      </c>
      <c r="E16" s="161"/>
      <c r="F16" s="114">
        <v>72.0</v>
      </c>
      <c r="G16" s="115"/>
      <c r="H16" s="116">
        <f t="shared" si="2"/>
        <v>180</v>
      </c>
      <c r="I16" s="117">
        <f t="shared" si="3"/>
        <v>0.25</v>
      </c>
      <c r="J16" s="117">
        <f t="shared" si="4"/>
        <v>0.25</v>
      </c>
      <c r="K16" s="118"/>
      <c r="L16" s="88"/>
      <c r="M16" s="105"/>
      <c r="N16" s="105"/>
      <c r="O16" s="105"/>
      <c r="P16" s="105"/>
      <c r="Q16" s="136"/>
      <c r="R16" s="120"/>
      <c r="S16" s="120">
        <f t="shared" si="5"/>
        <v>62500</v>
      </c>
      <c r="T16" s="121">
        <v>250000.0</v>
      </c>
      <c r="U16" s="122"/>
      <c r="V16" s="123">
        <f t="shared" si="6"/>
        <v>72000</v>
      </c>
      <c r="W16" s="123">
        <f t="shared" si="7"/>
        <v>720000</v>
      </c>
      <c r="X16" s="162">
        <v>4000.0</v>
      </c>
      <c r="Y16" s="125">
        <v>72.0</v>
      </c>
      <c r="Z16" s="126">
        <f t="shared" si="8"/>
        <v>0</v>
      </c>
    </row>
    <row r="17" ht="21.0" customHeight="1">
      <c r="A17" s="60" t="s">
        <v>148</v>
      </c>
      <c r="B17" s="158" t="s">
        <v>84</v>
      </c>
      <c r="C17" s="159"/>
      <c r="D17" s="160">
        <v>5.0</v>
      </c>
      <c r="E17" s="161"/>
      <c r="F17" s="114">
        <v>72.0</v>
      </c>
      <c r="G17" s="115"/>
      <c r="H17" s="116">
        <f t="shared" si="2"/>
        <v>360</v>
      </c>
      <c r="I17" s="117">
        <f t="shared" si="3"/>
        <v>0.5</v>
      </c>
      <c r="J17" s="117">
        <f t="shared" si="4"/>
        <v>0.5</v>
      </c>
      <c r="K17" s="118"/>
      <c r="L17" s="88"/>
      <c r="M17" s="105"/>
      <c r="N17" s="105"/>
      <c r="O17" s="105"/>
      <c r="P17" s="105"/>
      <c r="Q17" s="136"/>
      <c r="R17" s="120"/>
      <c r="S17" s="120">
        <f t="shared" si="5"/>
        <v>125000</v>
      </c>
      <c r="T17" s="121">
        <v>250000.0</v>
      </c>
      <c r="U17" s="122"/>
      <c r="V17" s="123">
        <f t="shared" si="6"/>
        <v>97200</v>
      </c>
      <c r="W17" s="123">
        <f t="shared" si="7"/>
        <v>972000</v>
      </c>
      <c r="X17" s="124">
        <v>2700.0</v>
      </c>
      <c r="Y17" s="125">
        <v>96.0</v>
      </c>
      <c r="Z17" s="126">
        <f t="shared" si="8"/>
        <v>-24</v>
      </c>
    </row>
    <row r="18" ht="21.75" customHeight="1">
      <c r="A18" s="60" t="s">
        <v>149</v>
      </c>
      <c r="B18" s="163" t="s">
        <v>85</v>
      </c>
      <c r="C18" s="159"/>
      <c r="D18" s="160">
        <v>2.5</v>
      </c>
      <c r="E18" s="161"/>
      <c r="F18" s="114">
        <v>24.0</v>
      </c>
      <c r="G18" s="115"/>
      <c r="H18" s="116">
        <f t="shared" si="2"/>
        <v>60</v>
      </c>
      <c r="I18" s="117">
        <f t="shared" si="3"/>
        <v>0.08333333333</v>
      </c>
      <c r="J18" s="117">
        <f t="shared" si="4"/>
        <v>0.08333333333</v>
      </c>
      <c r="K18" s="118"/>
      <c r="L18" s="88"/>
      <c r="M18" s="105"/>
      <c r="N18" s="105"/>
      <c r="O18" s="105"/>
      <c r="P18" s="105"/>
      <c r="Q18" s="136"/>
      <c r="R18" s="120"/>
      <c r="S18" s="120">
        <f t="shared" si="5"/>
        <v>20833.33333</v>
      </c>
      <c r="T18" s="121">
        <v>250000.0</v>
      </c>
      <c r="U18" s="122"/>
      <c r="V18" s="123">
        <f t="shared" si="6"/>
        <v>24000</v>
      </c>
      <c r="W18" s="123">
        <f t="shared" si="7"/>
        <v>240000</v>
      </c>
      <c r="X18" s="124">
        <v>4000.0</v>
      </c>
      <c r="Y18" s="125">
        <v>24.0</v>
      </c>
      <c r="Z18" s="126">
        <f t="shared" si="8"/>
        <v>0</v>
      </c>
    </row>
    <row r="19" ht="24.75" customHeight="1">
      <c r="A19" s="60" t="s">
        <v>150</v>
      </c>
      <c r="B19" s="164" t="s">
        <v>86</v>
      </c>
      <c r="C19" s="165"/>
      <c r="D19" s="160">
        <v>5.0</v>
      </c>
      <c r="E19" s="161"/>
      <c r="F19" s="114">
        <v>72.0</v>
      </c>
      <c r="G19" s="115"/>
      <c r="H19" s="116">
        <f t="shared" si="2"/>
        <v>360</v>
      </c>
      <c r="I19" s="117">
        <f t="shared" si="3"/>
        <v>0.5</v>
      </c>
      <c r="J19" s="117">
        <f t="shared" si="4"/>
        <v>0.5</v>
      </c>
      <c r="K19" s="118"/>
      <c r="L19" s="88"/>
      <c r="M19" s="105"/>
      <c r="N19" s="105"/>
      <c r="O19" s="105"/>
      <c r="P19" s="105"/>
      <c r="Q19" s="136"/>
      <c r="R19" s="120"/>
      <c r="S19" s="120">
        <f t="shared" si="5"/>
        <v>125000</v>
      </c>
      <c r="T19" s="121">
        <v>250000.0</v>
      </c>
      <c r="U19" s="122"/>
      <c r="V19" s="123">
        <f t="shared" si="6"/>
        <v>144000</v>
      </c>
      <c r="W19" s="123">
        <f t="shared" si="7"/>
        <v>1440000</v>
      </c>
      <c r="X19" s="124">
        <v>4000.0</v>
      </c>
      <c r="Y19" s="125">
        <v>48.0</v>
      </c>
      <c r="Z19" s="126">
        <f t="shared" si="8"/>
        <v>24</v>
      </c>
    </row>
    <row r="20" ht="22.5" customHeight="1">
      <c r="A20" s="166" t="s">
        <v>151</v>
      </c>
      <c r="B20" s="135" t="s">
        <v>87</v>
      </c>
      <c r="C20" s="112"/>
      <c r="D20" s="14">
        <v>10.0</v>
      </c>
      <c r="E20" s="14"/>
      <c r="F20" s="114"/>
      <c r="G20" s="115"/>
      <c r="H20" s="116">
        <f t="shared" si="2"/>
        <v>0</v>
      </c>
      <c r="I20" s="117">
        <f t="shared" si="3"/>
        <v>0</v>
      </c>
      <c r="J20" s="117">
        <f t="shared" si="4"/>
        <v>0</v>
      </c>
      <c r="K20" s="105"/>
      <c r="L20" s="252"/>
      <c r="M20" s="105"/>
      <c r="N20" s="105"/>
      <c r="O20" s="105"/>
      <c r="P20" s="105"/>
      <c r="Q20" s="167"/>
      <c r="R20" s="120"/>
      <c r="S20" s="120">
        <f t="shared" si="5"/>
        <v>0</v>
      </c>
      <c r="T20" s="121">
        <v>250000.0</v>
      </c>
      <c r="U20" s="122"/>
      <c r="V20" s="168">
        <f>(H20/10)*2700</f>
        <v>0</v>
      </c>
      <c r="W20" s="168">
        <f t="shared" si="7"/>
        <v>0</v>
      </c>
      <c r="X20" s="124">
        <v>2700.0</v>
      </c>
      <c r="Y20" s="125">
        <v>72.0</v>
      </c>
    </row>
    <row r="21" ht="12.75" customHeight="1">
      <c r="A21" s="169"/>
      <c r="B21" s="170" t="s">
        <v>152</v>
      </c>
      <c r="C21" s="171"/>
      <c r="D21" s="172"/>
      <c r="E21" s="172"/>
      <c r="F21" s="173"/>
      <c r="G21" s="172"/>
      <c r="H21" s="174">
        <f t="shared" si="2"/>
        <v>0</v>
      </c>
      <c r="I21" s="172">
        <f t="shared" si="3"/>
        <v>0</v>
      </c>
      <c r="J21" s="175">
        <f t="shared" ref="J21:K21" si="9">SUM(J4:J20)</f>
        <v>9.1</v>
      </c>
      <c r="K21" s="176">
        <f t="shared" si="9"/>
        <v>0</v>
      </c>
      <c r="L21" s="171"/>
      <c r="M21" s="176"/>
      <c r="N21" s="176"/>
      <c r="O21" s="176"/>
      <c r="P21" s="176"/>
      <c r="Q21" s="177"/>
      <c r="R21" s="178"/>
      <c r="S21" s="179">
        <f>SUM(S4:S20)</f>
        <v>2275000</v>
      </c>
      <c r="T21" s="180"/>
      <c r="U21" s="181"/>
      <c r="V21" s="176">
        <f t="shared" ref="V21:W21" si="10">SUM(V4:V20)</f>
        <v>1909440</v>
      </c>
      <c r="W21" s="182">
        <f t="shared" si="10"/>
        <v>19094400</v>
      </c>
      <c r="X21" s="172"/>
    </row>
    <row r="22" ht="24.75" customHeight="1">
      <c r="A22" s="100" t="s">
        <v>153</v>
      </c>
      <c r="B22" s="183" t="s">
        <v>88</v>
      </c>
      <c r="C22" s="112"/>
      <c r="D22" s="16">
        <v>2.0</v>
      </c>
      <c r="E22" s="10"/>
      <c r="F22" s="64">
        <v>96.0</v>
      </c>
      <c r="G22" s="184">
        <v>29.0</v>
      </c>
      <c r="H22" s="116">
        <f t="shared" ref="H22:H25" si="11">(F22*D22)+(G22*E22)</f>
        <v>192</v>
      </c>
      <c r="I22" s="117">
        <f t="shared" si="3"/>
        <v>0.2666666667</v>
      </c>
      <c r="J22" s="117">
        <f t="shared" ref="J22:J25" si="12">I22</f>
        <v>0.2666666667</v>
      </c>
      <c r="K22" s="118"/>
      <c r="L22" s="88"/>
      <c r="M22" s="105"/>
      <c r="N22" s="105"/>
      <c r="O22" s="105"/>
      <c r="P22" s="105"/>
      <c r="Q22" s="136"/>
      <c r="R22" s="120"/>
      <c r="S22" s="120">
        <f t="shared" ref="S22:S26" si="13">I22*T22</f>
        <v>66666.66667</v>
      </c>
      <c r="T22" s="121">
        <v>250000.0</v>
      </c>
      <c r="U22" s="185"/>
      <c r="V22" s="168">
        <f>(H22/10)*X22</f>
        <v>76800</v>
      </c>
      <c r="W22" s="186">
        <f t="shared" ref="W22:W25" si="14">H22*X22</f>
        <v>768000</v>
      </c>
      <c r="X22" s="124">
        <v>4000.0</v>
      </c>
    </row>
    <row r="23" ht="36.0" customHeight="1">
      <c r="A23" s="100" t="s">
        <v>154</v>
      </c>
      <c r="B23" s="187" t="s">
        <v>89</v>
      </c>
      <c r="C23" s="112"/>
      <c r="D23" s="10">
        <v>3.0</v>
      </c>
      <c r="E23" s="10">
        <v>1.0</v>
      </c>
      <c r="F23" s="64">
        <v>96.0</v>
      </c>
      <c r="G23" s="184">
        <v>29.0</v>
      </c>
      <c r="H23" s="116">
        <f t="shared" si="11"/>
        <v>317</v>
      </c>
      <c r="I23" s="117">
        <f t="shared" si="3"/>
        <v>0.4402777778</v>
      </c>
      <c r="J23" s="117">
        <f t="shared" si="12"/>
        <v>0.4402777778</v>
      </c>
      <c r="K23" s="118"/>
      <c r="L23" s="88"/>
      <c r="M23" s="105"/>
      <c r="N23" s="105"/>
      <c r="O23" s="105"/>
      <c r="P23" s="105"/>
      <c r="Q23" s="136"/>
      <c r="R23" s="120"/>
      <c r="S23" s="120">
        <f t="shared" si="13"/>
        <v>110069.4444</v>
      </c>
      <c r="T23" s="121">
        <v>250000.0</v>
      </c>
      <c r="U23" s="185"/>
      <c r="V23" s="124">
        <f t="shared" ref="V23:V25" si="15">(H23/10)*2700</f>
        <v>85590</v>
      </c>
      <c r="W23" s="186">
        <f t="shared" si="14"/>
        <v>1268000</v>
      </c>
      <c r="X23" s="124">
        <v>4000.0</v>
      </c>
    </row>
    <row r="24" ht="45.75" customHeight="1">
      <c r="A24" s="100" t="s">
        <v>155</v>
      </c>
      <c r="B24" s="187" t="s">
        <v>45</v>
      </c>
      <c r="C24" s="112"/>
      <c r="D24" s="10">
        <v>3.0</v>
      </c>
      <c r="E24" s="10">
        <v>1.0</v>
      </c>
      <c r="F24" s="64">
        <v>48.0</v>
      </c>
      <c r="G24" s="184">
        <v>15.0</v>
      </c>
      <c r="H24" s="116">
        <f t="shared" si="11"/>
        <v>159</v>
      </c>
      <c r="I24" s="117">
        <f t="shared" si="3"/>
        <v>0.2208333333</v>
      </c>
      <c r="J24" s="117">
        <f t="shared" si="12"/>
        <v>0.2208333333</v>
      </c>
      <c r="K24" s="118"/>
      <c r="L24" s="88"/>
      <c r="M24" s="105"/>
      <c r="N24" s="105"/>
      <c r="O24" s="105"/>
      <c r="P24" s="105"/>
      <c r="Q24" s="136"/>
      <c r="R24" s="120"/>
      <c r="S24" s="120">
        <f t="shared" si="13"/>
        <v>55208.33333</v>
      </c>
      <c r="T24" s="121">
        <v>250000.0</v>
      </c>
      <c r="U24" s="185"/>
      <c r="V24" s="124">
        <f t="shared" si="15"/>
        <v>42930</v>
      </c>
      <c r="W24" s="186">
        <f t="shared" si="14"/>
        <v>636000</v>
      </c>
      <c r="X24" s="124">
        <v>4000.0</v>
      </c>
    </row>
    <row r="25" ht="39.0" customHeight="1">
      <c r="A25" s="100" t="s">
        <v>156</v>
      </c>
      <c r="B25" s="187" t="s">
        <v>48</v>
      </c>
      <c r="C25" s="112"/>
      <c r="D25" s="10">
        <v>3.0</v>
      </c>
      <c r="E25" s="10">
        <v>1.0</v>
      </c>
      <c r="F25" s="64">
        <v>120.0</v>
      </c>
      <c r="G25" s="184">
        <v>51.0</v>
      </c>
      <c r="H25" s="116">
        <f t="shared" si="11"/>
        <v>411</v>
      </c>
      <c r="I25" s="117">
        <f t="shared" si="3"/>
        <v>0.5708333333</v>
      </c>
      <c r="J25" s="117">
        <f t="shared" si="12"/>
        <v>0.5708333333</v>
      </c>
      <c r="K25" s="118"/>
      <c r="L25" s="88"/>
      <c r="M25" s="105"/>
      <c r="N25" s="105"/>
      <c r="O25" s="105"/>
      <c r="P25" s="105"/>
      <c r="Q25" s="136"/>
      <c r="R25" s="120"/>
      <c r="S25" s="120">
        <f t="shared" si="13"/>
        <v>142708.3333</v>
      </c>
      <c r="T25" s="121">
        <v>250000.0</v>
      </c>
      <c r="U25" s="185"/>
      <c r="V25" s="124">
        <f t="shared" si="15"/>
        <v>110970</v>
      </c>
      <c r="W25" s="186">
        <f t="shared" si="14"/>
        <v>1644000</v>
      </c>
      <c r="X25" s="124">
        <v>4000.0</v>
      </c>
    </row>
    <row r="26" ht="12.75" customHeight="1">
      <c r="A26" s="188"/>
      <c r="B26" s="189" t="s">
        <v>87</v>
      </c>
      <c r="C26" s="190"/>
      <c r="D26" s="191"/>
      <c r="E26" s="191"/>
      <c r="F26" s="192"/>
      <c r="G26" s="115"/>
      <c r="H26" s="193">
        <f t="shared" ref="H26:H27" si="16">F26*D26</f>
        <v>0</v>
      </c>
      <c r="I26" s="194">
        <f t="shared" si="3"/>
        <v>0</v>
      </c>
      <c r="J26" s="194"/>
      <c r="K26" s="195"/>
      <c r="L26" s="88"/>
      <c r="M26" s="105"/>
      <c r="N26" s="105"/>
      <c r="O26" s="105"/>
      <c r="P26" s="105"/>
      <c r="Q26" s="167"/>
      <c r="R26" s="120"/>
      <c r="S26" s="120">
        <f t="shared" si="13"/>
        <v>0</v>
      </c>
      <c r="T26" s="121"/>
      <c r="U26" s="122"/>
      <c r="V26" s="196"/>
      <c r="W26" s="197"/>
      <c r="X26" s="124"/>
    </row>
    <row r="27" ht="12.75" customHeight="1">
      <c r="A27" s="198"/>
      <c r="B27" s="171" t="s">
        <v>157</v>
      </c>
      <c r="C27" s="171"/>
      <c r="D27" s="177"/>
      <c r="E27" s="177"/>
      <c r="F27" s="177"/>
      <c r="G27" s="177"/>
      <c r="H27" s="199">
        <f t="shared" si="16"/>
        <v>0</v>
      </c>
      <c r="I27" s="172">
        <f t="shared" si="3"/>
        <v>0</v>
      </c>
      <c r="J27" s="175">
        <f t="shared" ref="J27:K27" si="17">SUM(J22:J26)</f>
        <v>1.498611111</v>
      </c>
      <c r="K27" s="176">
        <f t="shared" si="17"/>
        <v>0</v>
      </c>
      <c r="L27" s="171"/>
      <c r="M27" s="176"/>
      <c r="N27" s="176"/>
      <c r="O27" s="176"/>
      <c r="P27" s="176"/>
      <c r="Q27" s="177"/>
      <c r="R27" s="176"/>
      <c r="S27" s="176">
        <f>SUM(S22:S26)</f>
        <v>374652.7778</v>
      </c>
      <c r="T27" s="172"/>
      <c r="U27" s="177"/>
      <c r="V27" s="176">
        <f t="shared" ref="V27:W27" si="18">SUM(V22:V26)</f>
        <v>316290</v>
      </c>
      <c r="W27" s="182">
        <f t="shared" si="18"/>
        <v>4316000</v>
      </c>
      <c r="X27" s="172"/>
    </row>
    <row r="28" ht="22.5" customHeight="1">
      <c r="A28" s="253"/>
      <c r="B28" s="254"/>
      <c r="C28" s="254"/>
      <c r="D28" s="254"/>
      <c r="E28" s="254"/>
      <c r="F28" s="254"/>
      <c r="G28" s="254"/>
      <c r="H28" s="254"/>
      <c r="I28" s="254"/>
      <c r="J28" s="99"/>
      <c r="K28" s="105"/>
      <c r="L28" s="202"/>
      <c r="M28" s="88"/>
      <c r="N28" s="88"/>
      <c r="O28" s="105"/>
      <c r="P28" s="105"/>
      <c r="Q28" s="105"/>
      <c r="R28" s="203"/>
      <c r="S28" s="204"/>
      <c r="T28" s="205"/>
      <c r="U28" s="206"/>
      <c r="V28" s="124"/>
      <c r="W28" s="186"/>
      <c r="X28" s="124"/>
    </row>
    <row r="29" ht="27.75" customHeight="1">
      <c r="A29" s="255" t="s">
        <v>158</v>
      </c>
      <c r="B29" s="256" t="s">
        <v>159</v>
      </c>
      <c r="C29" s="49"/>
      <c r="D29" s="184">
        <v>6.0</v>
      </c>
      <c r="E29" s="184">
        <v>1.0</v>
      </c>
      <c r="F29" s="184">
        <v>168.0</v>
      </c>
      <c r="G29" s="184">
        <v>84.0</v>
      </c>
      <c r="H29" s="201">
        <f t="shared" ref="H29:H38" si="19">(F29*D29)+(G29*E29)</f>
        <v>1092</v>
      </c>
      <c r="I29" s="117">
        <f t="shared" ref="I29:I38" si="20">H29/720</f>
        <v>1.516666667</v>
      </c>
      <c r="J29" s="117">
        <f t="shared" ref="J29:J38" si="21">I29</f>
        <v>1.516666667</v>
      </c>
      <c r="K29" s="105"/>
      <c r="L29" s="202">
        <f t="shared" ref="L29:L34" si="22">I29*T29</f>
        <v>530833.3333</v>
      </c>
      <c r="M29" s="88">
        <v>72.0</v>
      </c>
      <c r="N29" s="88">
        <f t="shared" ref="N29:N36" si="23">M29*2700</f>
        <v>194400</v>
      </c>
      <c r="O29" s="105"/>
      <c r="P29" s="105"/>
      <c r="Q29" s="105"/>
      <c r="R29" s="203">
        <f t="shared" ref="R29:R38" si="24">S29/J29</f>
        <v>350000</v>
      </c>
      <c r="S29" s="204">
        <f t="shared" ref="S29:S38" si="25">I29*T29</f>
        <v>530833.3333</v>
      </c>
      <c r="T29" s="205">
        <v>350000.0</v>
      </c>
      <c r="U29" s="206">
        <f t="shared" ref="U29:U38" si="26">V29/J29</f>
        <v>194400</v>
      </c>
      <c r="V29" s="124">
        <f t="shared" ref="V29:V38" si="27">(H29/10)*2700</f>
        <v>294840</v>
      </c>
      <c r="W29" s="186">
        <f t="shared" ref="W29:W38" si="28">H29*X29</f>
        <v>2948400</v>
      </c>
      <c r="X29" s="124">
        <v>2700.0</v>
      </c>
    </row>
    <row r="30" ht="14.25" customHeight="1">
      <c r="A30" s="255" t="s">
        <v>160</v>
      </c>
      <c r="B30" s="257" t="s">
        <v>161</v>
      </c>
      <c r="C30" s="49"/>
      <c r="D30" s="184">
        <v>6.0</v>
      </c>
      <c r="E30" s="184">
        <v>1.0</v>
      </c>
      <c r="F30" s="184">
        <v>264.0</v>
      </c>
      <c r="G30" s="184">
        <v>216.0</v>
      </c>
      <c r="H30" s="201">
        <f t="shared" si="19"/>
        <v>1800</v>
      </c>
      <c r="I30" s="117">
        <f t="shared" si="20"/>
        <v>2.5</v>
      </c>
      <c r="J30" s="117">
        <f t="shared" si="21"/>
        <v>2.5</v>
      </c>
      <c r="K30" s="105"/>
      <c r="L30" s="202">
        <f t="shared" si="22"/>
        <v>875000</v>
      </c>
      <c r="M30" s="88">
        <v>96.0</v>
      </c>
      <c r="N30" s="88">
        <f t="shared" si="23"/>
        <v>259200</v>
      </c>
      <c r="O30" s="105"/>
      <c r="P30" s="105"/>
      <c r="Q30" s="105"/>
      <c r="R30" s="203">
        <f t="shared" si="24"/>
        <v>350000</v>
      </c>
      <c r="S30" s="204">
        <f t="shared" si="25"/>
        <v>875000</v>
      </c>
      <c r="T30" s="205">
        <v>350000.0</v>
      </c>
      <c r="U30" s="124">
        <f t="shared" si="26"/>
        <v>194400</v>
      </c>
      <c r="V30" s="124">
        <f t="shared" si="27"/>
        <v>486000</v>
      </c>
      <c r="W30" s="186">
        <f t="shared" si="28"/>
        <v>4860000</v>
      </c>
      <c r="X30" s="124">
        <v>2700.0</v>
      </c>
    </row>
    <row r="31" ht="27.75" customHeight="1">
      <c r="A31" s="255" t="s">
        <v>162</v>
      </c>
      <c r="B31" s="258" t="s">
        <v>163</v>
      </c>
      <c r="C31" s="49"/>
      <c r="D31" s="184">
        <v>3.0</v>
      </c>
      <c r="E31" s="184">
        <v>2.0</v>
      </c>
      <c r="F31" s="208">
        <v>336.0</v>
      </c>
      <c r="G31" s="184">
        <v>156.0</v>
      </c>
      <c r="H31" s="201">
        <f t="shared" si="19"/>
        <v>1320</v>
      </c>
      <c r="I31" s="117">
        <f t="shared" si="20"/>
        <v>1.833333333</v>
      </c>
      <c r="J31" s="117">
        <f t="shared" si="21"/>
        <v>1.833333333</v>
      </c>
      <c r="K31" s="105"/>
      <c r="L31" s="202">
        <f t="shared" si="22"/>
        <v>641666.6667</v>
      </c>
      <c r="M31" s="88">
        <v>96.0</v>
      </c>
      <c r="N31" s="88">
        <f t="shared" si="23"/>
        <v>259200</v>
      </c>
      <c r="O31" s="105"/>
      <c r="P31" s="105"/>
      <c r="Q31" s="105"/>
      <c r="R31" s="203">
        <f t="shared" si="24"/>
        <v>350000</v>
      </c>
      <c r="S31" s="204">
        <f t="shared" si="25"/>
        <v>641666.6667</v>
      </c>
      <c r="T31" s="205">
        <v>350000.0</v>
      </c>
      <c r="U31" s="206">
        <f t="shared" si="26"/>
        <v>194400</v>
      </c>
      <c r="V31" s="124">
        <f t="shared" si="27"/>
        <v>356400</v>
      </c>
      <c r="W31" s="186">
        <f t="shared" si="28"/>
        <v>3564000</v>
      </c>
      <c r="X31" s="124">
        <v>2700.0</v>
      </c>
    </row>
    <row r="32" ht="17.25" customHeight="1">
      <c r="A32" s="255" t="s">
        <v>164</v>
      </c>
      <c r="B32" s="257" t="s">
        <v>165</v>
      </c>
      <c r="C32" s="49"/>
      <c r="D32" s="184">
        <v>3.0</v>
      </c>
      <c r="E32" s="184">
        <v>2.0</v>
      </c>
      <c r="F32" s="208">
        <v>360.0</v>
      </c>
      <c r="G32" s="184">
        <v>130.0</v>
      </c>
      <c r="H32" s="201">
        <f t="shared" si="19"/>
        <v>1340</v>
      </c>
      <c r="I32" s="117">
        <f t="shared" si="20"/>
        <v>1.861111111</v>
      </c>
      <c r="J32" s="117">
        <f t="shared" si="21"/>
        <v>1.861111111</v>
      </c>
      <c r="K32" s="105"/>
      <c r="L32" s="202">
        <f t="shared" si="22"/>
        <v>651388.8889</v>
      </c>
      <c r="M32" s="88">
        <v>96.0</v>
      </c>
      <c r="N32" s="88">
        <f t="shared" si="23"/>
        <v>259200</v>
      </c>
      <c r="O32" s="105"/>
      <c r="P32" s="105"/>
      <c r="Q32" s="105"/>
      <c r="R32" s="203">
        <f t="shared" si="24"/>
        <v>350000</v>
      </c>
      <c r="S32" s="204">
        <f t="shared" si="25"/>
        <v>651388.8889</v>
      </c>
      <c r="T32" s="205">
        <v>350000.0</v>
      </c>
      <c r="U32" s="124">
        <f t="shared" si="26"/>
        <v>194400</v>
      </c>
      <c r="V32" s="124">
        <f t="shared" si="27"/>
        <v>361800</v>
      </c>
      <c r="W32" s="186">
        <f t="shared" si="28"/>
        <v>3618000</v>
      </c>
      <c r="X32" s="124">
        <v>2700.0</v>
      </c>
    </row>
    <row r="33" ht="17.25" customHeight="1">
      <c r="A33" s="255" t="s">
        <v>166</v>
      </c>
      <c r="B33" s="257" t="s">
        <v>167</v>
      </c>
      <c r="C33" s="49"/>
      <c r="D33" s="184">
        <v>3.0</v>
      </c>
      <c r="E33" s="184">
        <v>2.0</v>
      </c>
      <c r="F33" s="208">
        <v>264.0</v>
      </c>
      <c r="G33" s="184">
        <v>108.0</v>
      </c>
      <c r="H33" s="201">
        <f t="shared" si="19"/>
        <v>1008</v>
      </c>
      <c r="I33" s="117">
        <f t="shared" si="20"/>
        <v>1.4</v>
      </c>
      <c r="J33" s="117">
        <f t="shared" si="21"/>
        <v>1.4</v>
      </c>
      <c r="K33" s="105"/>
      <c r="L33" s="202">
        <f t="shared" si="22"/>
        <v>490000</v>
      </c>
      <c r="M33" s="88">
        <v>96.0</v>
      </c>
      <c r="N33" s="88">
        <f t="shared" si="23"/>
        <v>259200</v>
      </c>
      <c r="O33" s="105"/>
      <c r="P33" s="105"/>
      <c r="Q33" s="105"/>
      <c r="R33" s="203">
        <f t="shared" si="24"/>
        <v>350000</v>
      </c>
      <c r="S33" s="204">
        <f t="shared" si="25"/>
        <v>490000</v>
      </c>
      <c r="T33" s="205">
        <v>350000.0</v>
      </c>
      <c r="U33" s="124">
        <f t="shared" si="26"/>
        <v>194400</v>
      </c>
      <c r="V33" s="124">
        <f t="shared" si="27"/>
        <v>272160</v>
      </c>
      <c r="W33" s="186">
        <f t="shared" si="28"/>
        <v>2721600</v>
      </c>
      <c r="X33" s="124">
        <v>2700.0</v>
      </c>
    </row>
    <row r="34" ht="27.75" customHeight="1">
      <c r="A34" s="255" t="s">
        <v>168</v>
      </c>
      <c r="B34" s="258" t="s">
        <v>169</v>
      </c>
      <c r="C34" s="49"/>
      <c r="D34" s="184">
        <v>3.0</v>
      </c>
      <c r="E34" s="184">
        <v>2.0</v>
      </c>
      <c r="F34" s="208">
        <v>144.0</v>
      </c>
      <c r="G34" s="184">
        <v>65.0</v>
      </c>
      <c r="H34" s="201">
        <f t="shared" si="19"/>
        <v>562</v>
      </c>
      <c r="I34" s="209">
        <f t="shared" si="20"/>
        <v>0.7805555556</v>
      </c>
      <c r="J34" s="209">
        <f t="shared" si="21"/>
        <v>0.7805555556</v>
      </c>
      <c r="K34" s="210"/>
      <c r="L34" s="202">
        <f t="shared" si="22"/>
        <v>273194.4444</v>
      </c>
      <c r="M34" s="88">
        <v>96.0</v>
      </c>
      <c r="N34" s="88">
        <f t="shared" si="23"/>
        <v>259200</v>
      </c>
      <c r="O34" s="105"/>
      <c r="P34" s="105"/>
      <c r="Q34" s="105"/>
      <c r="R34" s="203">
        <f t="shared" si="24"/>
        <v>350000</v>
      </c>
      <c r="S34" s="204">
        <f t="shared" si="25"/>
        <v>273194.4444</v>
      </c>
      <c r="T34" s="205">
        <v>350000.0</v>
      </c>
      <c r="U34" s="124">
        <f t="shared" si="26"/>
        <v>194400</v>
      </c>
      <c r="V34" s="124">
        <f t="shared" si="27"/>
        <v>151740</v>
      </c>
      <c r="W34" s="186">
        <f t="shared" si="28"/>
        <v>1517400</v>
      </c>
      <c r="X34" s="124">
        <v>2700.0</v>
      </c>
    </row>
    <row r="35" ht="27.75" customHeight="1">
      <c r="A35" s="255" t="s">
        <v>170</v>
      </c>
      <c r="B35" s="256" t="s">
        <v>171</v>
      </c>
      <c r="C35" s="49"/>
      <c r="D35" s="184">
        <v>1.0</v>
      </c>
      <c r="E35" s="184">
        <v>1.0</v>
      </c>
      <c r="F35" s="208">
        <v>144.0</v>
      </c>
      <c r="G35" s="184">
        <v>84.0</v>
      </c>
      <c r="H35" s="201">
        <f t="shared" si="19"/>
        <v>228</v>
      </c>
      <c r="I35" s="117">
        <f t="shared" si="20"/>
        <v>0.3166666667</v>
      </c>
      <c r="J35" s="117">
        <f t="shared" si="21"/>
        <v>0.3166666667</v>
      </c>
      <c r="K35" s="105"/>
      <c r="L35" s="202"/>
      <c r="M35" s="88">
        <v>96.0</v>
      </c>
      <c r="N35" s="88">
        <f t="shared" si="23"/>
        <v>259200</v>
      </c>
      <c r="O35" s="105"/>
      <c r="P35" s="105"/>
      <c r="Q35" s="105"/>
      <c r="R35" s="203">
        <f t="shared" si="24"/>
        <v>350000</v>
      </c>
      <c r="S35" s="204">
        <f t="shared" si="25"/>
        <v>110833.3333</v>
      </c>
      <c r="T35" s="205">
        <v>350000.0</v>
      </c>
      <c r="U35" s="206">
        <f t="shared" si="26"/>
        <v>194400</v>
      </c>
      <c r="V35" s="124">
        <f t="shared" si="27"/>
        <v>61560</v>
      </c>
      <c r="W35" s="186">
        <f t="shared" si="28"/>
        <v>615600</v>
      </c>
      <c r="X35" s="124">
        <v>2700.0</v>
      </c>
    </row>
    <row r="36" ht="27.75" customHeight="1">
      <c r="A36" s="255" t="s">
        <v>172</v>
      </c>
      <c r="B36" s="258" t="s">
        <v>173</v>
      </c>
      <c r="C36" s="49"/>
      <c r="D36" s="184">
        <v>1.0</v>
      </c>
      <c r="E36" s="184">
        <v>1.0</v>
      </c>
      <c r="F36" s="208">
        <v>144.0</v>
      </c>
      <c r="G36" s="184">
        <v>84.0</v>
      </c>
      <c r="H36" s="201">
        <f t="shared" si="19"/>
        <v>228</v>
      </c>
      <c r="I36" s="117">
        <f t="shared" si="20"/>
        <v>0.3166666667</v>
      </c>
      <c r="J36" s="117">
        <f t="shared" si="21"/>
        <v>0.3166666667</v>
      </c>
      <c r="K36" s="105"/>
      <c r="L36" s="202"/>
      <c r="M36" s="88">
        <v>96.0</v>
      </c>
      <c r="N36" s="88">
        <f t="shared" si="23"/>
        <v>259200</v>
      </c>
      <c r="O36" s="105"/>
      <c r="P36" s="105"/>
      <c r="Q36" s="105"/>
      <c r="R36" s="203">
        <f t="shared" si="24"/>
        <v>350000</v>
      </c>
      <c r="S36" s="204">
        <f t="shared" si="25"/>
        <v>110833.3333</v>
      </c>
      <c r="T36" s="205">
        <v>350000.0</v>
      </c>
      <c r="U36" s="124">
        <f t="shared" si="26"/>
        <v>194400</v>
      </c>
      <c r="V36" s="124">
        <f t="shared" si="27"/>
        <v>61560</v>
      </c>
      <c r="W36" s="186">
        <f t="shared" si="28"/>
        <v>615600</v>
      </c>
      <c r="X36" s="124">
        <v>2700.0</v>
      </c>
    </row>
    <row r="37" ht="12.75" customHeight="1">
      <c r="A37" s="100"/>
      <c r="B37" s="259" t="s">
        <v>174</v>
      </c>
      <c r="C37" s="49"/>
      <c r="D37" s="184">
        <v>1.0</v>
      </c>
      <c r="E37" s="184">
        <v>1.0</v>
      </c>
      <c r="F37" s="184">
        <v>96.0</v>
      </c>
      <c r="G37" s="184">
        <v>44.0</v>
      </c>
      <c r="H37" s="201">
        <f t="shared" si="19"/>
        <v>140</v>
      </c>
      <c r="I37" s="117">
        <f t="shared" si="20"/>
        <v>0.1944444444</v>
      </c>
      <c r="J37" s="117">
        <f t="shared" si="21"/>
        <v>0.1944444444</v>
      </c>
      <c r="K37" s="105"/>
      <c r="L37" s="202"/>
      <c r="M37" s="88"/>
      <c r="N37" s="88"/>
      <c r="O37" s="105"/>
      <c r="P37" s="105"/>
      <c r="Q37" s="105"/>
      <c r="R37" s="203">
        <f t="shared" si="24"/>
        <v>350000</v>
      </c>
      <c r="S37" s="204">
        <f t="shared" si="25"/>
        <v>68055.55556</v>
      </c>
      <c r="T37" s="205">
        <v>350000.0</v>
      </c>
      <c r="U37" s="124">
        <f t="shared" si="26"/>
        <v>194400</v>
      </c>
      <c r="V37" s="124">
        <f t="shared" si="27"/>
        <v>37800</v>
      </c>
      <c r="W37" s="186">
        <f t="shared" si="28"/>
        <v>378000</v>
      </c>
      <c r="X37" s="124">
        <v>2700.0</v>
      </c>
    </row>
    <row r="38" ht="12.75" customHeight="1">
      <c r="A38" s="100"/>
      <c r="B38" s="259" t="s">
        <v>175</v>
      </c>
      <c r="C38" s="49"/>
      <c r="D38" s="184">
        <v>1.0</v>
      </c>
      <c r="E38" s="184">
        <v>1.0</v>
      </c>
      <c r="F38" s="184">
        <v>72.0</v>
      </c>
      <c r="G38" s="184">
        <v>22.0</v>
      </c>
      <c r="H38" s="201">
        <f t="shared" si="19"/>
        <v>94</v>
      </c>
      <c r="I38" s="117">
        <f t="shared" si="20"/>
        <v>0.1305555556</v>
      </c>
      <c r="J38" s="117">
        <f t="shared" si="21"/>
        <v>0.1305555556</v>
      </c>
      <c r="K38" s="105"/>
      <c r="L38" s="202"/>
      <c r="M38" s="88"/>
      <c r="N38" s="88"/>
      <c r="O38" s="105"/>
      <c r="P38" s="105"/>
      <c r="Q38" s="105"/>
      <c r="R38" s="203">
        <f t="shared" si="24"/>
        <v>350000</v>
      </c>
      <c r="S38" s="204">
        <f t="shared" si="25"/>
        <v>45694.44444</v>
      </c>
      <c r="T38" s="205">
        <v>350000.0</v>
      </c>
      <c r="U38" s="124">
        <f t="shared" si="26"/>
        <v>194400</v>
      </c>
      <c r="V38" s="124">
        <f t="shared" si="27"/>
        <v>25380</v>
      </c>
      <c r="W38" s="186">
        <f t="shared" si="28"/>
        <v>253800</v>
      </c>
      <c r="X38" s="124">
        <v>2700.0</v>
      </c>
    </row>
    <row r="39" ht="12.75" customHeight="1">
      <c r="A39" s="198"/>
      <c r="B39" s="260" t="s">
        <v>176</v>
      </c>
      <c r="C39" s="171"/>
      <c r="D39" s="177"/>
      <c r="E39" s="177"/>
      <c r="F39" s="172"/>
      <c r="G39" s="172"/>
      <c r="H39" s="177"/>
      <c r="I39" s="177"/>
      <c r="J39" s="175">
        <f t="shared" ref="J39:S39" si="29">SUM(J29:J38)</f>
        <v>10.85</v>
      </c>
      <c r="K39" s="176">
        <f t="shared" si="29"/>
        <v>0</v>
      </c>
      <c r="L39" s="175">
        <f t="shared" si="29"/>
        <v>3462083.333</v>
      </c>
      <c r="M39" s="175">
        <f t="shared" si="29"/>
        <v>744</v>
      </c>
      <c r="N39" s="175">
        <f t="shared" si="29"/>
        <v>2008800</v>
      </c>
      <c r="O39" s="175">
        <f t="shared" si="29"/>
        <v>0</v>
      </c>
      <c r="P39" s="175">
        <f t="shared" si="29"/>
        <v>0</v>
      </c>
      <c r="Q39" s="175">
        <f t="shared" si="29"/>
        <v>0</v>
      </c>
      <c r="R39" s="176">
        <f t="shared" si="29"/>
        <v>3500000</v>
      </c>
      <c r="S39" s="176">
        <f t="shared" si="29"/>
        <v>3797500</v>
      </c>
      <c r="T39" s="177"/>
      <c r="U39" s="176">
        <f t="shared" ref="U39:W39" si="30">SUM(U29:U38)</f>
        <v>1944000</v>
      </c>
      <c r="V39" s="176">
        <f t="shared" si="30"/>
        <v>2109240</v>
      </c>
      <c r="W39" s="177">
        <f t="shared" si="30"/>
        <v>21092400</v>
      </c>
      <c r="X39" s="172"/>
    </row>
    <row r="40" ht="12.75" customHeight="1">
      <c r="A40" s="212"/>
      <c r="B40" s="261" t="s">
        <v>177</v>
      </c>
      <c r="C40" s="214"/>
      <c r="D40" s="215"/>
      <c r="E40" s="215"/>
      <c r="F40" s="215"/>
      <c r="G40" s="215"/>
      <c r="H40" s="215"/>
      <c r="I40" s="215"/>
      <c r="J40" s="216">
        <f>J21+J27+J39</f>
        <v>21.44861111</v>
      </c>
      <c r="K40" s="215"/>
      <c r="L40" s="215"/>
      <c r="M40" s="215"/>
      <c r="N40" s="217"/>
      <c r="O40" s="217"/>
      <c r="P40" s="217"/>
      <c r="Q40" s="215"/>
      <c r="R40" s="218"/>
      <c r="S40" s="219">
        <f>S21+S27+S39</f>
        <v>6447152.778</v>
      </c>
      <c r="T40" s="220"/>
      <c r="U40" s="217">
        <f t="shared" ref="U40:W40" si="31">U21+U27+U39</f>
        <v>1944000</v>
      </c>
      <c r="V40" s="219">
        <f t="shared" si="31"/>
        <v>4334970</v>
      </c>
      <c r="W40" s="217">
        <f t="shared" si="31"/>
        <v>44502800</v>
      </c>
      <c r="X40" s="215"/>
    </row>
    <row r="41" ht="12.75" customHeight="1">
      <c r="A41" s="100"/>
      <c r="B41" s="262"/>
      <c r="C41" s="75"/>
      <c r="D41" s="115"/>
      <c r="E41" s="115"/>
      <c r="F41" s="115"/>
      <c r="G41" s="115"/>
      <c r="H41" s="115"/>
      <c r="I41" s="115"/>
      <c r="J41" s="221"/>
      <c r="K41" s="115"/>
      <c r="L41" s="115"/>
      <c r="M41" s="115"/>
      <c r="N41" s="115"/>
      <c r="O41" s="115"/>
      <c r="P41" s="115"/>
      <c r="Q41" s="115"/>
      <c r="R41" s="222"/>
      <c r="S41" s="222"/>
      <c r="T41" s="223"/>
      <c r="U41" s="115"/>
      <c r="V41" s="115"/>
      <c r="W41" s="115"/>
      <c r="X41" s="115"/>
    </row>
    <row r="42" ht="12.75" customHeight="1">
      <c r="A42" s="224"/>
      <c r="B42" s="225"/>
      <c r="C42" s="225"/>
      <c r="D42" s="226"/>
      <c r="E42" s="226"/>
      <c r="F42" s="227"/>
      <c r="G42" s="228"/>
      <c r="H42" s="229"/>
      <c r="I42" s="226"/>
      <c r="J42" s="226"/>
      <c r="K42" s="226"/>
      <c r="L42" s="230">
        <f>L39+Q39+V27+V21</f>
        <v>5687813.333</v>
      </c>
      <c r="M42" s="226"/>
      <c r="N42" s="226"/>
      <c r="O42" s="226"/>
      <c r="P42" s="226"/>
      <c r="Q42" s="226"/>
      <c r="R42" s="231"/>
      <c r="S42" s="231">
        <v>7.6924212E7</v>
      </c>
      <c r="T42" s="231"/>
      <c r="U42" s="226"/>
      <c r="V42" s="232">
        <v>7.6924212E7</v>
      </c>
      <c r="W42" s="226"/>
      <c r="X42" s="226"/>
      <c r="Y42" s="233"/>
    </row>
    <row r="43" ht="12.75" customHeight="1">
      <c r="A43" s="234"/>
      <c r="B43" s="233"/>
      <c r="C43" s="233"/>
      <c r="D43" s="235"/>
      <c r="E43" s="235"/>
      <c r="F43" s="236"/>
      <c r="G43" s="228"/>
      <c r="H43" s="237"/>
      <c r="I43" s="235"/>
      <c r="J43" s="235"/>
      <c r="K43" s="235"/>
      <c r="L43" s="238">
        <f>S43-L42</f>
        <v>642186.6667</v>
      </c>
      <c r="M43" s="235"/>
      <c r="N43" s="235"/>
      <c r="O43" s="235"/>
      <c r="P43" s="235"/>
      <c r="Q43" s="235"/>
      <c r="R43" s="239"/>
      <c r="S43" s="240">
        <v>6330000.0</v>
      </c>
      <c r="T43" s="239"/>
      <c r="U43" s="235"/>
      <c r="V43" s="235"/>
      <c r="W43" s="235"/>
      <c r="X43" s="235"/>
      <c r="Y43" s="233"/>
    </row>
    <row r="44" ht="12.75" customHeight="1">
      <c r="A44" s="234"/>
      <c r="B44" s="233"/>
      <c r="C44" s="233"/>
      <c r="D44" s="235"/>
      <c r="E44" s="235"/>
      <c r="F44" s="236"/>
      <c r="G44" s="228"/>
      <c r="H44" s="237"/>
      <c r="I44" s="235"/>
      <c r="J44" s="235"/>
      <c r="K44" s="235"/>
      <c r="L44" s="235"/>
      <c r="M44" s="235"/>
      <c r="N44" s="235"/>
      <c r="O44" s="235"/>
      <c r="P44" s="235"/>
      <c r="Q44" s="235"/>
      <c r="R44" s="241"/>
      <c r="S44" s="241">
        <f>S40/S42</f>
        <v>0.08381174938</v>
      </c>
      <c r="T44" s="239"/>
      <c r="U44" s="235"/>
      <c r="V44" s="242">
        <f>V40/V42</f>
        <v>0.05635377844</v>
      </c>
      <c r="W44" s="235"/>
      <c r="X44" s="235"/>
      <c r="Y44" s="233"/>
    </row>
    <row r="45" ht="12.75" customHeight="1">
      <c r="A45" s="74"/>
      <c r="G45" s="75"/>
      <c r="U45" s="243"/>
      <c r="V45" s="243"/>
      <c r="W45" s="243"/>
      <c r="X45" s="243"/>
    </row>
    <row r="46" ht="12.75" customHeight="1">
      <c r="A46" s="74"/>
      <c r="G46" s="75"/>
      <c r="L46" s="244">
        <f>L39*12</f>
        <v>41545000</v>
      </c>
      <c r="R46" s="245"/>
      <c r="S46" s="245"/>
      <c r="U46" s="243"/>
      <c r="V46" s="243"/>
      <c r="W46" s="243"/>
      <c r="X46" s="243"/>
    </row>
    <row r="47" ht="12.75" customHeight="1">
      <c r="A47" s="74"/>
      <c r="G47" s="75"/>
      <c r="L47" s="244">
        <f>Q39*10</f>
        <v>0</v>
      </c>
      <c r="U47" s="243"/>
      <c r="V47" s="243"/>
      <c r="W47" s="243"/>
      <c r="X47" s="243"/>
    </row>
    <row r="48" ht="12.75" customHeight="1">
      <c r="A48" s="74"/>
      <c r="G48" s="75"/>
      <c r="L48" s="244">
        <f>(V27+V21)*10</f>
        <v>22257300</v>
      </c>
      <c r="U48" s="243"/>
      <c r="V48" s="243"/>
      <c r="W48" s="243"/>
      <c r="X48" s="243"/>
    </row>
    <row r="49" ht="12.75" customHeight="1">
      <c r="A49" s="74"/>
      <c r="G49" s="75"/>
      <c r="L49" s="246">
        <f>SUM(L46:L48)</f>
        <v>63802300</v>
      </c>
      <c r="M49" s="243">
        <f>L49*0.8</f>
        <v>51041840</v>
      </c>
      <c r="U49" s="243"/>
      <c r="V49" s="243"/>
      <c r="W49" s="243"/>
      <c r="X49" s="243"/>
    </row>
    <row r="50" ht="12.75" customHeight="1">
      <c r="A50" s="74"/>
      <c r="G50" s="75"/>
      <c r="L50" s="244">
        <f>(L49*0.16)+L49</f>
        <v>74010668</v>
      </c>
      <c r="U50" s="243"/>
      <c r="V50" s="243"/>
      <c r="W50" s="243"/>
      <c r="X50" s="243"/>
    </row>
    <row r="51" ht="12.75" customHeight="1">
      <c r="A51" s="74"/>
      <c r="G51" s="75"/>
      <c r="L51" s="244">
        <v>3.84621058E8</v>
      </c>
      <c r="M51" s="243">
        <v>3.84621058E8</v>
      </c>
      <c r="U51" s="243"/>
      <c r="V51" s="243"/>
      <c r="W51" s="243"/>
      <c r="X51" s="243"/>
    </row>
    <row r="52" ht="12.75" customHeight="1">
      <c r="A52" s="74"/>
      <c r="G52" s="75"/>
      <c r="U52" s="243"/>
      <c r="V52" s="243"/>
      <c r="W52" s="243"/>
      <c r="X52" s="243"/>
    </row>
    <row r="53" ht="12.75" customHeight="1">
      <c r="A53" s="74"/>
      <c r="G53" s="75"/>
      <c r="K53" s="244" t="s">
        <v>178</v>
      </c>
      <c r="L53" s="247">
        <f t="shared" ref="L53:M53" si="32">L49/L51</f>
        <v>0.1658835331</v>
      </c>
      <c r="M53" s="247">
        <f t="shared" si="32"/>
        <v>0.1327068265</v>
      </c>
      <c r="N53" s="244" t="s">
        <v>179</v>
      </c>
      <c r="O53" s="248">
        <f>L49-S42</f>
        <v>-13121912</v>
      </c>
      <c r="U53" s="243"/>
      <c r="V53" s="243"/>
      <c r="W53" s="243"/>
      <c r="X53" s="243"/>
    </row>
    <row r="54" ht="12.75" customHeight="1">
      <c r="A54" s="74"/>
      <c r="G54" s="75"/>
      <c r="K54" s="244" t="s">
        <v>180</v>
      </c>
      <c r="L54" s="247">
        <f>L50/L51</f>
        <v>0.1924248984</v>
      </c>
      <c r="U54" s="243"/>
      <c r="V54" s="243"/>
      <c r="W54" s="243"/>
      <c r="X54" s="243"/>
    </row>
    <row r="55" ht="12.75" customHeight="1">
      <c r="A55" s="74"/>
      <c r="G55" s="75"/>
      <c r="U55" s="243"/>
      <c r="V55" s="243"/>
      <c r="W55" s="243"/>
      <c r="X55" s="243"/>
    </row>
    <row r="56" ht="12.75" customHeight="1">
      <c r="A56" s="74"/>
      <c r="G56" s="75"/>
      <c r="U56" s="243"/>
      <c r="V56" s="243"/>
      <c r="W56" s="243"/>
      <c r="X56" s="243"/>
    </row>
    <row r="57" ht="12.75" customHeight="1">
      <c r="A57" s="74"/>
      <c r="G57" s="75"/>
      <c r="U57" s="243"/>
      <c r="V57" s="243"/>
      <c r="W57" s="243"/>
      <c r="X57" s="243"/>
    </row>
    <row r="58" ht="12.75" customHeight="1">
      <c r="A58" s="74"/>
      <c r="G58" s="75"/>
      <c r="U58" s="243"/>
      <c r="V58" s="243"/>
      <c r="W58" s="243"/>
      <c r="X58" s="243"/>
    </row>
    <row r="59" ht="12.75" customHeight="1">
      <c r="A59" s="74"/>
      <c r="G59" s="75"/>
      <c r="U59" s="243"/>
      <c r="V59" s="243"/>
      <c r="W59" s="243"/>
      <c r="X59" s="243"/>
    </row>
    <row r="60" ht="12.75" customHeight="1">
      <c r="A60" s="74"/>
      <c r="G60" s="75"/>
      <c r="U60" s="243"/>
      <c r="V60" s="243"/>
      <c r="W60" s="243"/>
      <c r="X60" s="243"/>
    </row>
    <row r="61" ht="12.75" customHeight="1">
      <c r="A61" s="74"/>
      <c r="G61" s="75"/>
      <c r="U61" s="243"/>
      <c r="V61" s="243"/>
      <c r="W61" s="243"/>
      <c r="X61" s="243"/>
    </row>
    <row r="62" ht="12.75" customHeight="1">
      <c r="A62" s="74"/>
      <c r="G62" s="75"/>
      <c r="U62" s="243"/>
      <c r="V62" s="243"/>
      <c r="W62" s="243"/>
      <c r="X62" s="243"/>
    </row>
    <row r="63" ht="12.75" customHeight="1">
      <c r="A63" s="74"/>
      <c r="G63" s="75"/>
      <c r="U63" s="243"/>
      <c r="V63" s="243"/>
      <c r="W63" s="243"/>
      <c r="X63" s="243"/>
    </row>
    <row r="64" ht="12.75" customHeight="1">
      <c r="A64" s="74"/>
      <c r="G64" s="75"/>
      <c r="U64" s="243"/>
      <c r="V64" s="243"/>
      <c r="W64" s="243"/>
      <c r="X64" s="243"/>
    </row>
    <row r="65" ht="12.75" customHeight="1">
      <c r="A65" s="74"/>
      <c r="G65" s="75"/>
      <c r="U65" s="243"/>
      <c r="V65" s="243"/>
      <c r="W65" s="243"/>
      <c r="X65" s="243"/>
    </row>
    <row r="66" ht="12.75" customHeight="1">
      <c r="A66" s="74"/>
      <c r="G66" s="75"/>
      <c r="U66" s="243"/>
      <c r="V66" s="243"/>
      <c r="W66" s="243"/>
      <c r="X66" s="243"/>
    </row>
    <row r="67" ht="12.75" customHeight="1">
      <c r="A67" s="74"/>
      <c r="G67" s="75"/>
      <c r="U67" s="243"/>
      <c r="V67" s="243"/>
      <c r="W67" s="243"/>
      <c r="X67" s="243"/>
    </row>
    <row r="68" ht="12.75" customHeight="1">
      <c r="A68" s="74"/>
      <c r="G68" s="75"/>
      <c r="U68" s="243"/>
      <c r="V68" s="243"/>
      <c r="W68" s="243"/>
      <c r="X68" s="243"/>
    </row>
    <row r="69" ht="12.75" customHeight="1">
      <c r="A69" s="74"/>
      <c r="G69" s="75"/>
      <c r="U69" s="243"/>
      <c r="V69" s="243"/>
      <c r="W69" s="243"/>
      <c r="X69" s="243"/>
    </row>
    <row r="70" ht="12.75" customHeight="1">
      <c r="A70" s="74"/>
      <c r="G70" s="75"/>
      <c r="U70" s="243"/>
      <c r="V70" s="243"/>
      <c r="W70" s="243"/>
      <c r="X70" s="243"/>
    </row>
    <row r="71" ht="12.75" customHeight="1">
      <c r="A71" s="74"/>
      <c r="G71" s="75"/>
      <c r="U71" s="243"/>
      <c r="V71" s="243"/>
      <c r="W71" s="243"/>
      <c r="X71" s="243"/>
    </row>
    <row r="72" ht="12.75" customHeight="1">
      <c r="A72" s="74"/>
      <c r="G72" s="75"/>
      <c r="U72" s="243"/>
      <c r="V72" s="243"/>
      <c r="W72" s="243"/>
      <c r="X72" s="243"/>
    </row>
    <row r="73" ht="12.75" customHeight="1">
      <c r="A73" s="74"/>
      <c r="G73" s="75"/>
      <c r="U73" s="243"/>
      <c r="V73" s="243"/>
      <c r="W73" s="243"/>
      <c r="X73" s="243"/>
    </row>
    <row r="74" ht="12.75" customHeight="1">
      <c r="A74" s="74"/>
      <c r="G74" s="75"/>
      <c r="U74" s="243"/>
      <c r="V74" s="243"/>
      <c r="W74" s="243"/>
      <c r="X74" s="243"/>
    </row>
    <row r="75" ht="12.75" customHeight="1">
      <c r="A75" s="74"/>
      <c r="G75" s="75"/>
      <c r="U75" s="243"/>
      <c r="V75" s="243"/>
      <c r="W75" s="243"/>
      <c r="X75" s="243"/>
    </row>
    <row r="76" ht="12.75" customHeight="1">
      <c r="A76" s="74"/>
      <c r="G76" s="75"/>
      <c r="U76" s="243"/>
      <c r="V76" s="243"/>
      <c r="W76" s="243"/>
      <c r="X76" s="243"/>
    </row>
    <row r="77" ht="12.75" customHeight="1">
      <c r="A77" s="74"/>
      <c r="G77" s="75"/>
      <c r="U77" s="243"/>
      <c r="V77" s="243"/>
      <c r="W77" s="243"/>
      <c r="X77" s="243"/>
    </row>
    <row r="78" ht="12.75" customHeight="1">
      <c r="A78" s="74"/>
      <c r="G78" s="75"/>
      <c r="U78" s="243"/>
      <c r="V78" s="243"/>
      <c r="W78" s="243"/>
      <c r="X78" s="243"/>
    </row>
    <row r="79" ht="12.75" customHeight="1">
      <c r="A79" s="74"/>
      <c r="G79" s="75"/>
      <c r="U79" s="243"/>
      <c r="V79" s="243"/>
      <c r="W79" s="243"/>
      <c r="X79" s="243"/>
    </row>
    <row r="80" ht="12.75" customHeight="1">
      <c r="A80" s="74"/>
      <c r="G80" s="75"/>
      <c r="U80" s="243"/>
      <c r="V80" s="243"/>
      <c r="W80" s="243"/>
      <c r="X80" s="243"/>
    </row>
    <row r="81" ht="12.75" customHeight="1">
      <c r="A81" s="74"/>
      <c r="G81" s="75"/>
      <c r="U81" s="243"/>
      <c r="V81" s="243"/>
      <c r="W81" s="243"/>
      <c r="X81" s="243"/>
    </row>
    <row r="82" ht="12.75" customHeight="1">
      <c r="A82" s="74"/>
      <c r="G82" s="75"/>
      <c r="U82" s="243"/>
      <c r="V82" s="243"/>
      <c r="W82" s="243"/>
      <c r="X82" s="243"/>
    </row>
    <row r="83" ht="12.75" customHeight="1">
      <c r="A83" s="74"/>
      <c r="G83" s="75"/>
      <c r="U83" s="243"/>
      <c r="V83" s="243"/>
      <c r="W83" s="243"/>
      <c r="X83" s="243"/>
    </row>
    <row r="84" ht="12.75" customHeight="1">
      <c r="A84" s="74"/>
      <c r="G84" s="75"/>
      <c r="U84" s="243"/>
      <c r="V84" s="243"/>
      <c r="W84" s="243"/>
      <c r="X84" s="243"/>
    </row>
    <row r="85" ht="12.75" customHeight="1">
      <c r="A85" s="74"/>
      <c r="G85" s="75"/>
      <c r="U85" s="243"/>
      <c r="V85" s="243"/>
      <c r="W85" s="243"/>
      <c r="X85" s="243"/>
    </row>
    <row r="86" ht="12.75" customHeight="1">
      <c r="A86" s="74"/>
      <c r="G86" s="75"/>
      <c r="U86" s="243"/>
      <c r="V86" s="243"/>
      <c r="W86" s="243"/>
      <c r="X86" s="243"/>
    </row>
    <row r="87" ht="12.75" customHeight="1">
      <c r="A87" s="74"/>
      <c r="G87" s="75"/>
      <c r="U87" s="243"/>
      <c r="V87" s="243"/>
      <c r="W87" s="243"/>
      <c r="X87" s="243"/>
    </row>
    <row r="88" ht="12.75" customHeight="1">
      <c r="A88" s="74"/>
      <c r="G88" s="75"/>
      <c r="U88" s="243"/>
      <c r="V88" s="243"/>
      <c r="W88" s="243"/>
      <c r="X88" s="243"/>
    </row>
    <row r="89" ht="12.75" customHeight="1">
      <c r="A89" s="74"/>
      <c r="G89" s="75"/>
      <c r="U89" s="243"/>
      <c r="V89" s="243"/>
      <c r="W89" s="243"/>
      <c r="X89" s="243"/>
    </row>
    <row r="90" ht="12.75" customHeight="1">
      <c r="A90" s="74"/>
      <c r="G90" s="75"/>
      <c r="U90" s="243"/>
      <c r="V90" s="243"/>
      <c r="W90" s="243"/>
      <c r="X90" s="243"/>
    </row>
    <row r="91" ht="12.75" customHeight="1">
      <c r="A91" s="74"/>
      <c r="G91" s="75"/>
      <c r="U91" s="243"/>
      <c r="V91" s="243"/>
      <c r="W91" s="243"/>
      <c r="X91" s="243"/>
    </row>
    <row r="92" ht="12.75" customHeight="1">
      <c r="A92" s="74"/>
      <c r="G92" s="75"/>
      <c r="U92" s="243"/>
      <c r="V92" s="243"/>
      <c r="W92" s="243"/>
      <c r="X92" s="243"/>
    </row>
    <row r="93" ht="12.75" customHeight="1">
      <c r="A93" s="74"/>
      <c r="G93" s="75"/>
      <c r="U93" s="243"/>
      <c r="V93" s="243"/>
      <c r="W93" s="243"/>
      <c r="X93" s="243"/>
    </row>
    <row r="94" ht="12.75" customHeight="1">
      <c r="A94" s="74"/>
      <c r="G94" s="75"/>
      <c r="U94" s="243"/>
      <c r="V94" s="243"/>
      <c r="W94" s="243"/>
      <c r="X94" s="243"/>
    </row>
    <row r="95" ht="12.75" customHeight="1">
      <c r="A95" s="74"/>
      <c r="G95" s="75"/>
      <c r="U95" s="243"/>
      <c r="V95" s="243"/>
      <c r="W95" s="243"/>
      <c r="X95" s="243"/>
    </row>
    <row r="96" ht="12.75" customHeight="1">
      <c r="A96" s="74"/>
      <c r="G96" s="75"/>
      <c r="U96" s="243"/>
      <c r="V96" s="243"/>
      <c r="W96" s="243"/>
      <c r="X96" s="243"/>
    </row>
    <row r="97" ht="12.75" customHeight="1">
      <c r="A97" s="74"/>
      <c r="G97" s="75"/>
      <c r="U97" s="243"/>
      <c r="V97" s="243"/>
      <c r="W97" s="243"/>
      <c r="X97" s="243"/>
    </row>
    <row r="98" ht="12.75" customHeight="1">
      <c r="A98" s="74"/>
      <c r="G98" s="75"/>
      <c r="U98" s="243"/>
      <c r="V98" s="243"/>
      <c r="W98" s="243"/>
      <c r="X98" s="243"/>
    </row>
    <row r="99" ht="12.75" customHeight="1">
      <c r="A99" s="74"/>
      <c r="G99" s="75"/>
      <c r="U99" s="243"/>
      <c r="V99" s="243"/>
      <c r="W99" s="243"/>
      <c r="X99" s="243"/>
    </row>
    <row r="100" ht="12.75" customHeight="1">
      <c r="A100" s="74"/>
      <c r="G100" s="75"/>
      <c r="U100" s="243"/>
      <c r="V100" s="243"/>
      <c r="W100" s="243"/>
      <c r="X100" s="243"/>
    </row>
    <row r="101" ht="12.75" customHeight="1">
      <c r="A101" s="74"/>
      <c r="G101" s="75"/>
      <c r="U101" s="243"/>
      <c r="V101" s="243"/>
      <c r="W101" s="243"/>
      <c r="X101" s="243"/>
    </row>
    <row r="102" ht="12.75" customHeight="1">
      <c r="A102" s="74"/>
      <c r="G102" s="75"/>
      <c r="U102" s="243"/>
      <c r="V102" s="243"/>
      <c r="W102" s="243"/>
      <c r="X102" s="243"/>
    </row>
    <row r="103" ht="12.75" customHeight="1">
      <c r="A103" s="74"/>
      <c r="G103" s="75"/>
      <c r="U103" s="243"/>
      <c r="V103" s="243"/>
      <c r="W103" s="243"/>
      <c r="X103" s="243"/>
    </row>
    <row r="104" ht="12.75" customHeight="1">
      <c r="A104" s="74"/>
      <c r="G104" s="75"/>
      <c r="U104" s="243"/>
      <c r="V104" s="243"/>
      <c r="W104" s="243"/>
      <c r="X104" s="243"/>
    </row>
    <row r="105" ht="12.75" customHeight="1">
      <c r="A105" s="74"/>
      <c r="G105" s="75"/>
      <c r="U105" s="243"/>
      <c r="V105" s="243"/>
      <c r="W105" s="243"/>
      <c r="X105" s="243"/>
    </row>
    <row r="106" ht="12.75" customHeight="1">
      <c r="A106" s="74"/>
      <c r="G106" s="75"/>
      <c r="U106" s="243"/>
      <c r="V106" s="243"/>
      <c r="W106" s="243"/>
      <c r="X106" s="243"/>
    </row>
    <row r="107" ht="12.75" customHeight="1">
      <c r="A107" s="74"/>
      <c r="G107" s="75"/>
      <c r="U107" s="243"/>
      <c r="V107" s="243"/>
      <c r="W107" s="243"/>
      <c r="X107" s="243"/>
    </row>
    <row r="108" ht="12.75" customHeight="1">
      <c r="A108" s="74"/>
      <c r="G108" s="75"/>
      <c r="U108" s="243"/>
      <c r="V108" s="243"/>
      <c r="W108" s="243"/>
      <c r="X108" s="243"/>
    </row>
    <row r="109" ht="12.75" customHeight="1">
      <c r="A109" s="74"/>
      <c r="G109" s="75"/>
      <c r="U109" s="243"/>
      <c r="V109" s="243"/>
      <c r="W109" s="243"/>
      <c r="X109" s="243"/>
    </row>
    <row r="110" ht="12.75" customHeight="1">
      <c r="A110" s="74"/>
      <c r="G110" s="75"/>
      <c r="U110" s="243"/>
      <c r="V110" s="243"/>
      <c r="W110" s="243"/>
      <c r="X110" s="243"/>
    </row>
    <row r="111" ht="12.75" customHeight="1">
      <c r="A111" s="74"/>
      <c r="G111" s="75"/>
      <c r="U111" s="243"/>
      <c r="V111" s="243"/>
      <c r="W111" s="243"/>
      <c r="X111" s="243"/>
    </row>
    <row r="112" ht="12.75" customHeight="1">
      <c r="A112" s="74"/>
      <c r="G112" s="75"/>
      <c r="U112" s="243"/>
      <c r="V112" s="243"/>
      <c r="W112" s="243"/>
      <c r="X112" s="243"/>
    </row>
    <row r="113" ht="12.75" customHeight="1">
      <c r="A113" s="74"/>
      <c r="G113" s="75"/>
      <c r="U113" s="243"/>
      <c r="V113" s="243"/>
      <c r="W113" s="243"/>
      <c r="X113" s="243"/>
    </row>
    <row r="114" ht="12.75" customHeight="1">
      <c r="A114" s="74"/>
      <c r="G114" s="75"/>
      <c r="U114" s="243"/>
      <c r="V114" s="243"/>
      <c r="W114" s="243"/>
      <c r="X114" s="243"/>
    </row>
    <row r="115" ht="12.75" customHeight="1">
      <c r="A115" s="74"/>
      <c r="G115" s="75"/>
      <c r="U115" s="243"/>
      <c r="V115" s="243"/>
      <c r="W115" s="243"/>
      <c r="X115" s="243"/>
    </row>
    <row r="116" ht="12.75" customHeight="1">
      <c r="A116" s="74"/>
      <c r="G116" s="75"/>
      <c r="U116" s="243"/>
      <c r="V116" s="243"/>
      <c r="W116" s="243"/>
      <c r="X116" s="243"/>
    </row>
    <row r="117" ht="12.75" customHeight="1">
      <c r="A117" s="74"/>
      <c r="G117" s="75"/>
      <c r="U117" s="243"/>
      <c r="V117" s="243"/>
      <c r="W117" s="243"/>
      <c r="X117" s="243"/>
    </row>
    <row r="118" ht="12.75" customHeight="1">
      <c r="A118" s="74"/>
      <c r="G118" s="75"/>
      <c r="U118" s="243"/>
      <c r="V118" s="243"/>
      <c r="W118" s="243"/>
      <c r="X118" s="243"/>
    </row>
    <row r="119" ht="12.75" customHeight="1">
      <c r="A119" s="74"/>
      <c r="G119" s="75"/>
      <c r="U119" s="243"/>
      <c r="V119" s="243"/>
      <c r="W119" s="243"/>
      <c r="X119" s="243"/>
    </row>
    <row r="120" ht="12.75" customHeight="1">
      <c r="A120" s="74"/>
      <c r="G120" s="75"/>
      <c r="U120" s="243"/>
      <c r="V120" s="243"/>
      <c r="W120" s="243"/>
      <c r="X120" s="243"/>
    </row>
    <row r="121" ht="12.75" customHeight="1">
      <c r="A121" s="74"/>
      <c r="G121" s="75"/>
      <c r="U121" s="243"/>
      <c r="V121" s="243"/>
      <c r="W121" s="243"/>
      <c r="X121" s="243"/>
    </row>
    <row r="122" ht="12.75" customHeight="1">
      <c r="A122" s="74"/>
      <c r="G122" s="75"/>
      <c r="U122" s="243"/>
      <c r="V122" s="243"/>
      <c r="W122" s="243"/>
      <c r="X122" s="243"/>
    </row>
    <row r="123" ht="12.75" customHeight="1">
      <c r="A123" s="74"/>
      <c r="G123" s="75"/>
      <c r="U123" s="243"/>
      <c r="V123" s="243"/>
      <c r="W123" s="243"/>
      <c r="X123" s="243"/>
    </row>
    <row r="124" ht="12.75" customHeight="1">
      <c r="A124" s="74"/>
      <c r="G124" s="75"/>
      <c r="U124" s="243"/>
      <c r="V124" s="243"/>
      <c r="W124" s="243"/>
      <c r="X124" s="243"/>
    </row>
    <row r="125" ht="12.75" customHeight="1">
      <c r="A125" s="74"/>
      <c r="G125" s="75"/>
      <c r="U125" s="243"/>
      <c r="V125" s="243"/>
      <c r="W125" s="243"/>
      <c r="X125" s="243"/>
    </row>
    <row r="126" ht="12.75" customHeight="1">
      <c r="A126" s="74"/>
      <c r="G126" s="75"/>
      <c r="U126" s="243"/>
      <c r="V126" s="243"/>
      <c r="W126" s="243"/>
      <c r="X126" s="243"/>
    </row>
    <row r="127" ht="12.75" customHeight="1">
      <c r="A127" s="74"/>
      <c r="G127" s="75"/>
      <c r="U127" s="243"/>
      <c r="V127" s="243"/>
      <c r="W127" s="243"/>
      <c r="X127" s="243"/>
    </row>
    <row r="128" ht="12.75" customHeight="1">
      <c r="A128" s="74"/>
      <c r="G128" s="75"/>
      <c r="U128" s="243"/>
      <c r="V128" s="243"/>
      <c r="W128" s="243"/>
      <c r="X128" s="243"/>
    </row>
    <row r="129" ht="12.75" customHeight="1">
      <c r="A129" s="74"/>
      <c r="G129" s="75"/>
      <c r="U129" s="243"/>
      <c r="V129" s="243"/>
      <c r="W129" s="243"/>
      <c r="X129" s="243"/>
    </row>
    <row r="130" ht="12.75" customHeight="1">
      <c r="A130" s="74"/>
      <c r="G130" s="75"/>
      <c r="U130" s="243"/>
      <c r="V130" s="243"/>
      <c r="W130" s="243"/>
      <c r="X130" s="243"/>
    </row>
    <row r="131" ht="12.75" customHeight="1">
      <c r="A131" s="74"/>
      <c r="G131" s="75"/>
      <c r="U131" s="243"/>
      <c r="V131" s="243"/>
      <c r="W131" s="243"/>
      <c r="X131" s="243"/>
    </row>
    <row r="132" ht="12.75" customHeight="1">
      <c r="A132" s="74"/>
      <c r="G132" s="75"/>
      <c r="U132" s="243"/>
      <c r="V132" s="243"/>
      <c r="W132" s="243"/>
      <c r="X132" s="243"/>
    </row>
    <row r="133" ht="12.75" customHeight="1">
      <c r="A133" s="74"/>
      <c r="G133" s="75"/>
      <c r="U133" s="243"/>
      <c r="V133" s="243"/>
      <c r="W133" s="243"/>
      <c r="X133" s="243"/>
    </row>
    <row r="134" ht="12.75" customHeight="1">
      <c r="A134" s="74"/>
      <c r="G134" s="75"/>
      <c r="U134" s="243"/>
      <c r="V134" s="243"/>
      <c r="W134" s="243"/>
      <c r="X134" s="243"/>
    </row>
    <row r="135" ht="12.75" customHeight="1">
      <c r="A135" s="74"/>
      <c r="G135" s="75"/>
      <c r="U135" s="243"/>
      <c r="V135" s="243"/>
      <c r="W135" s="243"/>
      <c r="X135" s="243"/>
    </row>
    <row r="136" ht="12.75" customHeight="1">
      <c r="A136" s="74"/>
      <c r="G136" s="75"/>
      <c r="U136" s="243"/>
      <c r="V136" s="243"/>
      <c r="W136" s="243"/>
      <c r="X136" s="243"/>
    </row>
    <row r="137" ht="12.75" customHeight="1">
      <c r="A137" s="74"/>
      <c r="G137" s="75"/>
      <c r="U137" s="243"/>
      <c r="V137" s="243"/>
      <c r="W137" s="243"/>
      <c r="X137" s="243"/>
    </row>
    <row r="138" ht="12.75" customHeight="1">
      <c r="A138" s="74"/>
      <c r="G138" s="75"/>
      <c r="U138" s="243"/>
      <c r="V138" s="243"/>
      <c r="W138" s="243"/>
      <c r="X138" s="243"/>
    </row>
    <row r="139" ht="12.75" customHeight="1">
      <c r="A139" s="74"/>
      <c r="G139" s="75"/>
      <c r="U139" s="243"/>
      <c r="V139" s="243"/>
      <c r="W139" s="243"/>
      <c r="X139" s="243"/>
    </row>
    <row r="140" ht="12.75" customHeight="1">
      <c r="A140" s="74"/>
      <c r="G140" s="75"/>
      <c r="U140" s="243"/>
      <c r="V140" s="243"/>
      <c r="W140" s="243"/>
      <c r="X140" s="243"/>
    </row>
    <row r="141" ht="12.75" customHeight="1">
      <c r="A141" s="74"/>
      <c r="G141" s="75"/>
      <c r="U141" s="243"/>
      <c r="V141" s="243"/>
      <c r="W141" s="243"/>
      <c r="X141" s="243"/>
    </row>
    <row r="142" ht="12.75" customHeight="1">
      <c r="A142" s="74"/>
      <c r="G142" s="75"/>
      <c r="U142" s="243"/>
      <c r="V142" s="243"/>
      <c r="W142" s="243"/>
      <c r="X142" s="243"/>
    </row>
    <row r="143" ht="12.75" customHeight="1">
      <c r="A143" s="74"/>
      <c r="G143" s="75"/>
      <c r="U143" s="243"/>
      <c r="V143" s="243"/>
      <c r="W143" s="243"/>
      <c r="X143" s="243"/>
    </row>
    <row r="144" ht="12.75" customHeight="1">
      <c r="A144" s="74"/>
      <c r="G144" s="75"/>
      <c r="U144" s="243"/>
      <c r="V144" s="243"/>
      <c r="W144" s="243"/>
      <c r="X144" s="243"/>
    </row>
    <row r="145" ht="12.75" customHeight="1">
      <c r="A145" s="74"/>
      <c r="G145" s="75"/>
      <c r="U145" s="243"/>
      <c r="V145" s="243"/>
      <c r="W145" s="243"/>
      <c r="X145" s="243"/>
    </row>
    <row r="146" ht="12.75" customHeight="1">
      <c r="A146" s="74"/>
      <c r="G146" s="75"/>
      <c r="U146" s="243"/>
      <c r="V146" s="243"/>
      <c r="W146" s="243"/>
      <c r="X146" s="243"/>
    </row>
    <row r="147" ht="12.75" customHeight="1">
      <c r="A147" s="74"/>
      <c r="G147" s="75"/>
      <c r="U147" s="243"/>
      <c r="V147" s="243"/>
      <c r="W147" s="243"/>
      <c r="X147" s="243"/>
    </row>
    <row r="148" ht="12.75" customHeight="1">
      <c r="A148" s="74"/>
      <c r="G148" s="75"/>
      <c r="U148" s="243"/>
      <c r="V148" s="243"/>
      <c r="W148" s="243"/>
      <c r="X148" s="243"/>
    </row>
    <row r="149" ht="12.75" customHeight="1">
      <c r="A149" s="74"/>
      <c r="G149" s="75"/>
      <c r="U149" s="243"/>
      <c r="V149" s="243"/>
      <c r="W149" s="243"/>
      <c r="X149" s="243"/>
    </row>
    <row r="150" ht="12.75" customHeight="1">
      <c r="A150" s="74"/>
      <c r="G150" s="75"/>
      <c r="U150" s="243"/>
      <c r="V150" s="243"/>
      <c r="W150" s="243"/>
      <c r="X150" s="243"/>
    </row>
    <row r="151" ht="12.75" customHeight="1">
      <c r="A151" s="74"/>
      <c r="G151" s="75"/>
      <c r="U151" s="243"/>
      <c r="V151" s="243"/>
      <c r="W151" s="243"/>
      <c r="X151" s="243"/>
    </row>
    <row r="152" ht="12.75" customHeight="1">
      <c r="A152" s="74"/>
      <c r="G152" s="75"/>
      <c r="U152" s="243"/>
      <c r="V152" s="243"/>
      <c r="W152" s="243"/>
      <c r="X152" s="243"/>
    </row>
    <row r="153" ht="12.75" customHeight="1">
      <c r="A153" s="74"/>
      <c r="G153" s="75"/>
      <c r="U153" s="243"/>
      <c r="V153" s="243"/>
      <c r="W153" s="243"/>
      <c r="X153" s="243"/>
    </row>
    <row r="154" ht="12.75" customHeight="1">
      <c r="A154" s="74"/>
      <c r="G154" s="75"/>
      <c r="U154" s="243"/>
      <c r="V154" s="243"/>
      <c r="W154" s="243"/>
      <c r="X154" s="243"/>
    </row>
    <row r="155" ht="12.75" customHeight="1">
      <c r="A155" s="74"/>
      <c r="G155" s="75"/>
      <c r="U155" s="243"/>
      <c r="V155" s="243"/>
      <c r="W155" s="243"/>
      <c r="X155" s="243"/>
    </row>
    <row r="156" ht="12.75" customHeight="1">
      <c r="A156" s="74"/>
      <c r="G156" s="75"/>
      <c r="U156" s="243"/>
      <c r="V156" s="243"/>
      <c r="W156" s="243"/>
      <c r="X156" s="243"/>
    </row>
    <row r="157" ht="12.75" customHeight="1">
      <c r="A157" s="74"/>
      <c r="G157" s="75"/>
      <c r="U157" s="243"/>
      <c r="V157" s="243"/>
      <c r="W157" s="243"/>
      <c r="X157" s="243"/>
    </row>
    <row r="158" ht="12.75" customHeight="1">
      <c r="A158" s="74"/>
      <c r="G158" s="75"/>
      <c r="U158" s="243"/>
      <c r="V158" s="243"/>
      <c r="W158" s="243"/>
      <c r="X158" s="243"/>
    </row>
    <row r="159" ht="12.75" customHeight="1">
      <c r="A159" s="74"/>
      <c r="G159" s="75"/>
      <c r="U159" s="243"/>
      <c r="V159" s="243"/>
      <c r="W159" s="243"/>
      <c r="X159" s="243"/>
    </row>
    <row r="160" ht="12.75" customHeight="1">
      <c r="A160" s="74"/>
      <c r="G160" s="75"/>
      <c r="U160" s="243"/>
      <c r="V160" s="243"/>
      <c r="W160" s="243"/>
      <c r="X160" s="243"/>
    </row>
    <row r="161" ht="12.75" customHeight="1">
      <c r="A161" s="74"/>
      <c r="G161" s="75"/>
      <c r="U161" s="243"/>
      <c r="V161" s="243"/>
      <c r="W161" s="243"/>
      <c r="X161" s="243"/>
    </row>
    <row r="162" ht="12.75" customHeight="1">
      <c r="A162" s="74"/>
      <c r="G162" s="75"/>
      <c r="U162" s="243"/>
      <c r="V162" s="243"/>
      <c r="W162" s="243"/>
      <c r="X162" s="243"/>
    </row>
    <row r="163" ht="12.75" customHeight="1">
      <c r="A163" s="74"/>
      <c r="G163" s="75"/>
      <c r="U163" s="243"/>
      <c r="V163" s="243"/>
      <c r="W163" s="243"/>
      <c r="X163" s="243"/>
    </row>
    <row r="164" ht="12.75" customHeight="1">
      <c r="A164" s="74"/>
      <c r="G164" s="75"/>
      <c r="U164" s="243"/>
      <c r="V164" s="243"/>
      <c r="W164" s="243"/>
      <c r="X164" s="243"/>
    </row>
    <row r="165" ht="12.75" customHeight="1">
      <c r="A165" s="74"/>
      <c r="G165" s="75"/>
      <c r="U165" s="243"/>
      <c r="V165" s="243"/>
      <c r="W165" s="243"/>
      <c r="X165" s="243"/>
    </row>
    <row r="166" ht="12.75" customHeight="1">
      <c r="A166" s="74"/>
      <c r="G166" s="75"/>
      <c r="U166" s="243"/>
      <c r="V166" s="243"/>
      <c r="W166" s="243"/>
      <c r="X166" s="243"/>
    </row>
    <row r="167" ht="12.75" customHeight="1">
      <c r="A167" s="74"/>
      <c r="G167" s="75"/>
      <c r="U167" s="243"/>
      <c r="V167" s="243"/>
      <c r="W167" s="243"/>
      <c r="X167" s="243"/>
    </row>
    <row r="168" ht="12.75" customHeight="1">
      <c r="A168" s="74"/>
      <c r="G168" s="75"/>
      <c r="U168" s="243"/>
      <c r="V168" s="243"/>
      <c r="W168" s="243"/>
      <c r="X168" s="243"/>
    </row>
    <row r="169" ht="12.75" customHeight="1">
      <c r="A169" s="74"/>
      <c r="G169" s="75"/>
      <c r="U169" s="243"/>
      <c r="V169" s="243"/>
      <c r="W169" s="243"/>
      <c r="X169" s="243"/>
    </row>
    <row r="170" ht="12.75" customHeight="1">
      <c r="A170" s="74"/>
      <c r="G170" s="75"/>
      <c r="U170" s="243"/>
      <c r="V170" s="243"/>
      <c r="W170" s="243"/>
      <c r="X170" s="243"/>
    </row>
    <row r="171" ht="12.75" customHeight="1">
      <c r="A171" s="74"/>
      <c r="G171" s="75"/>
      <c r="U171" s="243"/>
      <c r="V171" s="243"/>
      <c r="W171" s="243"/>
      <c r="X171" s="243"/>
    </row>
    <row r="172" ht="12.75" customHeight="1">
      <c r="A172" s="74"/>
      <c r="G172" s="75"/>
      <c r="U172" s="243"/>
      <c r="V172" s="243"/>
      <c r="W172" s="243"/>
      <c r="X172" s="243"/>
    </row>
    <row r="173" ht="12.75" customHeight="1">
      <c r="A173" s="74"/>
      <c r="G173" s="75"/>
      <c r="U173" s="243"/>
      <c r="V173" s="243"/>
      <c r="W173" s="243"/>
      <c r="X173" s="243"/>
    </row>
    <row r="174" ht="12.75" customHeight="1">
      <c r="A174" s="74"/>
      <c r="G174" s="75"/>
      <c r="U174" s="243"/>
      <c r="V174" s="243"/>
      <c r="W174" s="243"/>
      <c r="X174" s="243"/>
    </row>
    <row r="175" ht="12.75" customHeight="1">
      <c r="A175" s="74"/>
      <c r="G175" s="75"/>
      <c r="U175" s="243"/>
      <c r="V175" s="243"/>
      <c r="W175" s="243"/>
      <c r="X175" s="243"/>
    </row>
    <row r="176" ht="12.75" customHeight="1">
      <c r="A176" s="74"/>
      <c r="G176" s="75"/>
      <c r="U176" s="243"/>
      <c r="V176" s="243"/>
      <c r="W176" s="243"/>
      <c r="X176" s="243"/>
    </row>
    <row r="177" ht="12.75" customHeight="1">
      <c r="A177" s="74"/>
      <c r="G177" s="75"/>
      <c r="U177" s="243"/>
      <c r="V177" s="243"/>
      <c r="W177" s="243"/>
      <c r="X177" s="243"/>
    </row>
    <row r="178" ht="12.75" customHeight="1">
      <c r="A178" s="74"/>
      <c r="G178" s="75"/>
      <c r="U178" s="243"/>
      <c r="V178" s="243"/>
      <c r="W178" s="243"/>
      <c r="X178" s="243"/>
    </row>
    <row r="179" ht="12.75" customHeight="1">
      <c r="A179" s="74"/>
      <c r="G179" s="75"/>
      <c r="U179" s="243"/>
      <c r="V179" s="243"/>
      <c r="W179" s="243"/>
      <c r="X179" s="243"/>
    </row>
    <row r="180" ht="12.75" customHeight="1">
      <c r="A180" s="74"/>
      <c r="G180" s="75"/>
      <c r="U180" s="243"/>
      <c r="V180" s="243"/>
      <c r="W180" s="243"/>
      <c r="X180" s="243"/>
    </row>
    <row r="181" ht="12.75" customHeight="1">
      <c r="A181" s="74"/>
      <c r="G181" s="75"/>
      <c r="U181" s="243"/>
      <c r="V181" s="243"/>
      <c r="W181" s="243"/>
      <c r="X181" s="243"/>
    </row>
    <row r="182" ht="12.75" customHeight="1">
      <c r="A182" s="74"/>
      <c r="G182" s="75"/>
      <c r="U182" s="243"/>
      <c r="V182" s="243"/>
      <c r="W182" s="243"/>
      <c r="X182" s="243"/>
    </row>
    <row r="183" ht="12.75" customHeight="1">
      <c r="A183" s="74"/>
      <c r="G183" s="75"/>
      <c r="U183" s="243"/>
      <c r="V183" s="243"/>
      <c r="W183" s="243"/>
      <c r="X183" s="243"/>
    </row>
    <row r="184" ht="12.75" customHeight="1">
      <c r="A184" s="74"/>
      <c r="G184" s="75"/>
      <c r="U184" s="243"/>
      <c r="V184" s="243"/>
      <c r="W184" s="243"/>
      <c r="X184" s="243"/>
    </row>
    <row r="185" ht="12.75" customHeight="1">
      <c r="A185" s="74"/>
      <c r="G185" s="75"/>
      <c r="U185" s="243"/>
      <c r="V185" s="243"/>
      <c r="W185" s="243"/>
      <c r="X185" s="243"/>
    </row>
    <row r="186" ht="12.75" customHeight="1">
      <c r="A186" s="74"/>
      <c r="G186" s="75"/>
      <c r="U186" s="243"/>
      <c r="V186" s="243"/>
      <c r="W186" s="243"/>
      <c r="X186" s="243"/>
    </row>
    <row r="187" ht="12.75" customHeight="1">
      <c r="A187" s="74"/>
      <c r="G187" s="75"/>
      <c r="U187" s="243"/>
      <c r="V187" s="243"/>
      <c r="W187" s="243"/>
      <c r="X187" s="243"/>
    </row>
    <row r="188" ht="12.75" customHeight="1">
      <c r="A188" s="74"/>
      <c r="G188" s="75"/>
      <c r="U188" s="243"/>
      <c r="V188" s="243"/>
      <c r="W188" s="243"/>
      <c r="X188" s="243"/>
    </row>
    <row r="189" ht="12.75" customHeight="1">
      <c r="A189" s="74"/>
      <c r="G189" s="75"/>
      <c r="U189" s="243"/>
      <c r="V189" s="243"/>
      <c r="W189" s="243"/>
      <c r="X189" s="243"/>
    </row>
    <row r="190" ht="12.75" customHeight="1">
      <c r="A190" s="74"/>
      <c r="G190" s="75"/>
      <c r="U190" s="243"/>
      <c r="V190" s="243"/>
      <c r="W190" s="243"/>
      <c r="X190" s="243"/>
    </row>
    <row r="191" ht="12.75" customHeight="1">
      <c r="A191" s="74"/>
      <c r="G191" s="75"/>
      <c r="U191" s="243"/>
      <c r="V191" s="243"/>
      <c r="W191" s="243"/>
      <c r="X191" s="243"/>
    </row>
    <row r="192" ht="12.75" customHeight="1">
      <c r="A192" s="74"/>
      <c r="G192" s="75"/>
      <c r="U192" s="243"/>
      <c r="V192" s="243"/>
      <c r="W192" s="243"/>
      <c r="X192" s="243"/>
    </row>
    <row r="193" ht="12.75" customHeight="1">
      <c r="A193" s="74"/>
      <c r="G193" s="75"/>
      <c r="U193" s="243"/>
      <c r="V193" s="243"/>
      <c r="W193" s="243"/>
      <c r="X193" s="243"/>
    </row>
    <row r="194" ht="12.75" customHeight="1">
      <c r="A194" s="74"/>
      <c r="G194" s="75"/>
      <c r="U194" s="243"/>
      <c r="V194" s="243"/>
      <c r="W194" s="243"/>
      <c r="X194" s="243"/>
    </row>
    <row r="195" ht="12.75" customHeight="1">
      <c r="A195" s="74"/>
      <c r="G195" s="75"/>
      <c r="U195" s="243"/>
      <c r="V195" s="243"/>
      <c r="W195" s="243"/>
      <c r="X195" s="243"/>
    </row>
    <row r="196" ht="12.75" customHeight="1">
      <c r="A196" s="74"/>
      <c r="G196" s="75"/>
      <c r="U196" s="243"/>
      <c r="V196" s="243"/>
      <c r="W196" s="243"/>
      <c r="X196" s="243"/>
    </row>
    <row r="197" ht="12.75" customHeight="1">
      <c r="A197" s="74"/>
      <c r="G197" s="75"/>
      <c r="U197" s="243"/>
      <c r="V197" s="243"/>
      <c r="W197" s="243"/>
      <c r="X197" s="243"/>
    </row>
    <row r="198" ht="12.75" customHeight="1">
      <c r="A198" s="74"/>
      <c r="G198" s="75"/>
      <c r="U198" s="243"/>
      <c r="V198" s="243"/>
      <c r="W198" s="243"/>
      <c r="X198" s="243"/>
    </row>
    <row r="199" ht="12.75" customHeight="1">
      <c r="A199" s="74"/>
      <c r="G199" s="75"/>
      <c r="U199" s="243"/>
      <c r="V199" s="243"/>
      <c r="W199" s="243"/>
      <c r="X199" s="243"/>
    </row>
    <row r="200" ht="12.75" customHeight="1">
      <c r="A200" s="74"/>
      <c r="G200" s="75"/>
      <c r="U200" s="243"/>
      <c r="V200" s="243"/>
      <c r="W200" s="243"/>
      <c r="X200" s="243"/>
    </row>
    <row r="201" ht="12.75" customHeight="1">
      <c r="A201" s="74"/>
      <c r="G201" s="75"/>
      <c r="U201" s="243"/>
      <c r="V201" s="243"/>
      <c r="W201" s="243"/>
      <c r="X201" s="243"/>
    </row>
    <row r="202" ht="12.75" customHeight="1">
      <c r="A202" s="74"/>
      <c r="G202" s="75"/>
      <c r="U202" s="243"/>
      <c r="V202" s="243"/>
      <c r="W202" s="243"/>
      <c r="X202" s="243"/>
    </row>
    <row r="203" ht="12.75" customHeight="1">
      <c r="A203" s="74"/>
      <c r="G203" s="75"/>
      <c r="U203" s="243"/>
      <c r="V203" s="243"/>
      <c r="W203" s="243"/>
      <c r="X203" s="243"/>
    </row>
    <row r="204" ht="12.75" customHeight="1">
      <c r="A204" s="74"/>
      <c r="G204" s="75"/>
      <c r="U204" s="243"/>
      <c r="V204" s="243"/>
      <c r="W204" s="243"/>
      <c r="X204" s="243"/>
    </row>
    <row r="205" ht="12.75" customHeight="1">
      <c r="A205" s="74"/>
      <c r="G205" s="75"/>
      <c r="U205" s="243"/>
      <c r="V205" s="243"/>
      <c r="W205" s="243"/>
      <c r="X205" s="243"/>
    </row>
    <row r="206" ht="12.75" customHeight="1">
      <c r="A206" s="74"/>
      <c r="G206" s="75"/>
      <c r="U206" s="243"/>
      <c r="V206" s="243"/>
      <c r="W206" s="243"/>
      <c r="X206" s="243"/>
    </row>
    <row r="207" ht="12.75" customHeight="1">
      <c r="A207" s="74"/>
      <c r="G207" s="75"/>
      <c r="U207" s="243"/>
      <c r="V207" s="243"/>
      <c r="W207" s="243"/>
      <c r="X207" s="243"/>
    </row>
    <row r="208" ht="12.75" customHeight="1">
      <c r="A208" s="74"/>
      <c r="G208" s="75"/>
      <c r="U208" s="243"/>
      <c r="V208" s="243"/>
      <c r="W208" s="243"/>
      <c r="X208" s="243"/>
    </row>
    <row r="209" ht="12.75" customHeight="1">
      <c r="A209" s="74"/>
      <c r="G209" s="75"/>
      <c r="U209" s="243"/>
      <c r="V209" s="243"/>
      <c r="W209" s="243"/>
      <c r="X209" s="243"/>
    </row>
    <row r="210" ht="12.75" customHeight="1">
      <c r="A210" s="74"/>
      <c r="G210" s="75"/>
      <c r="U210" s="243"/>
      <c r="V210" s="243"/>
      <c r="W210" s="243"/>
      <c r="X210" s="243"/>
    </row>
    <row r="211" ht="12.75" customHeight="1">
      <c r="A211" s="74"/>
      <c r="G211" s="75"/>
      <c r="U211" s="243"/>
      <c r="V211" s="243"/>
      <c r="W211" s="243"/>
      <c r="X211" s="243"/>
    </row>
    <row r="212" ht="12.75" customHeight="1">
      <c r="A212" s="74"/>
      <c r="G212" s="75"/>
      <c r="U212" s="243"/>
      <c r="V212" s="243"/>
      <c r="W212" s="243"/>
      <c r="X212" s="243"/>
    </row>
    <row r="213" ht="12.75" customHeight="1">
      <c r="A213" s="74"/>
      <c r="G213" s="75"/>
      <c r="U213" s="243"/>
      <c r="V213" s="243"/>
      <c r="W213" s="243"/>
      <c r="X213" s="243"/>
    </row>
    <row r="214" ht="12.75" customHeight="1">
      <c r="A214" s="74"/>
      <c r="G214" s="75"/>
      <c r="U214" s="243"/>
      <c r="V214" s="243"/>
      <c r="W214" s="243"/>
      <c r="X214" s="243"/>
    </row>
    <row r="215" ht="12.75" customHeight="1">
      <c r="A215" s="74"/>
      <c r="G215" s="75"/>
      <c r="U215" s="243"/>
      <c r="V215" s="243"/>
      <c r="W215" s="243"/>
      <c r="X215" s="243"/>
    </row>
    <row r="216" ht="12.75" customHeight="1">
      <c r="A216" s="74"/>
      <c r="G216" s="75"/>
      <c r="U216" s="243"/>
      <c r="V216" s="243"/>
      <c r="W216" s="243"/>
      <c r="X216" s="243"/>
    </row>
    <row r="217" ht="12.75" customHeight="1">
      <c r="A217" s="74"/>
      <c r="G217" s="75"/>
      <c r="U217" s="243"/>
      <c r="V217" s="243"/>
      <c r="W217" s="243"/>
      <c r="X217" s="243"/>
    </row>
    <row r="218" ht="12.75" customHeight="1">
      <c r="A218" s="74"/>
      <c r="G218" s="75"/>
      <c r="U218" s="243"/>
      <c r="V218" s="243"/>
      <c r="W218" s="243"/>
      <c r="X218" s="243"/>
    </row>
    <row r="219" ht="12.75" customHeight="1">
      <c r="A219" s="74"/>
      <c r="G219" s="75"/>
      <c r="U219" s="243"/>
      <c r="V219" s="243"/>
      <c r="W219" s="243"/>
      <c r="X219" s="243"/>
    </row>
    <row r="220" ht="12.75" customHeight="1">
      <c r="A220" s="74"/>
      <c r="G220" s="75"/>
      <c r="U220" s="243"/>
      <c r="V220" s="243"/>
      <c r="W220" s="243"/>
      <c r="X220" s="243"/>
    </row>
    <row r="221" ht="12.75" customHeight="1">
      <c r="A221" s="74"/>
      <c r="G221" s="75"/>
      <c r="U221" s="243"/>
      <c r="V221" s="243"/>
      <c r="W221" s="243"/>
      <c r="X221" s="243"/>
    </row>
    <row r="222" ht="12.75" customHeight="1">
      <c r="A222" s="74"/>
      <c r="G222" s="75"/>
      <c r="U222" s="243"/>
      <c r="V222" s="243"/>
      <c r="W222" s="243"/>
      <c r="X222" s="243"/>
    </row>
    <row r="223" ht="12.75" customHeight="1">
      <c r="A223" s="74"/>
      <c r="G223" s="75"/>
      <c r="U223" s="243"/>
      <c r="V223" s="243"/>
      <c r="W223" s="243"/>
      <c r="X223" s="243"/>
    </row>
    <row r="224" ht="12.75" customHeight="1">
      <c r="A224" s="74"/>
      <c r="G224" s="75"/>
      <c r="U224" s="243"/>
      <c r="V224" s="243"/>
      <c r="W224" s="243"/>
      <c r="X224" s="243"/>
    </row>
    <row r="225" ht="12.75" customHeight="1">
      <c r="A225" s="74"/>
      <c r="G225" s="75"/>
      <c r="U225" s="243"/>
      <c r="V225" s="243"/>
      <c r="W225" s="243"/>
      <c r="X225" s="243"/>
    </row>
    <row r="226" ht="12.75" customHeight="1">
      <c r="A226" s="74"/>
      <c r="G226" s="75"/>
      <c r="U226" s="243"/>
      <c r="V226" s="243"/>
      <c r="W226" s="243"/>
      <c r="X226" s="243"/>
    </row>
    <row r="227" ht="12.75" customHeight="1">
      <c r="A227" s="74"/>
      <c r="G227" s="75"/>
      <c r="U227" s="243"/>
      <c r="V227" s="243"/>
      <c r="W227" s="243"/>
      <c r="X227" s="243"/>
    </row>
    <row r="228" ht="12.75" customHeight="1">
      <c r="A228" s="74"/>
      <c r="G228" s="75"/>
      <c r="U228" s="243"/>
      <c r="V228" s="243"/>
      <c r="W228" s="243"/>
      <c r="X228" s="243"/>
    </row>
    <row r="229" ht="12.75" customHeight="1">
      <c r="A229" s="74"/>
      <c r="G229" s="75"/>
      <c r="U229" s="243"/>
      <c r="V229" s="243"/>
      <c r="W229" s="243"/>
      <c r="X229" s="243"/>
    </row>
    <row r="230" ht="12.75" customHeight="1">
      <c r="A230" s="74"/>
      <c r="G230" s="75"/>
      <c r="U230" s="243"/>
      <c r="V230" s="243"/>
      <c r="W230" s="243"/>
      <c r="X230" s="243"/>
    </row>
    <row r="231" ht="12.75" customHeight="1">
      <c r="A231" s="74"/>
      <c r="G231" s="75"/>
      <c r="U231" s="243"/>
      <c r="V231" s="243"/>
      <c r="W231" s="243"/>
      <c r="X231" s="243"/>
    </row>
    <row r="232" ht="12.75" customHeight="1">
      <c r="A232" s="74"/>
      <c r="G232" s="75"/>
      <c r="U232" s="243"/>
      <c r="V232" s="243"/>
      <c r="W232" s="243"/>
      <c r="X232" s="243"/>
    </row>
    <row r="233" ht="12.75" customHeight="1">
      <c r="A233" s="74"/>
      <c r="G233" s="75"/>
      <c r="U233" s="243"/>
      <c r="V233" s="243"/>
      <c r="W233" s="243"/>
      <c r="X233" s="243"/>
    </row>
    <row r="234" ht="12.75" customHeight="1">
      <c r="A234" s="74"/>
      <c r="G234" s="75"/>
      <c r="U234" s="243"/>
      <c r="V234" s="243"/>
      <c r="W234" s="243"/>
      <c r="X234" s="243"/>
    </row>
    <row r="235" ht="12.75" customHeight="1">
      <c r="A235" s="74"/>
      <c r="G235" s="75"/>
      <c r="U235" s="243"/>
      <c r="V235" s="243"/>
      <c r="W235" s="243"/>
      <c r="X235" s="243"/>
    </row>
    <row r="236" ht="12.75" customHeight="1">
      <c r="A236" s="74"/>
      <c r="G236" s="75"/>
      <c r="U236" s="243"/>
      <c r="V236" s="243"/>
      <c r="W236" s="243"/>
      <c r="X236" s="243"/>
    </row>
    <row r="237" ht="12.75" customHeight="1">
      <c r="A237" s="74"/>
      <c r="G237" s="75"/>
      <c r="U237" s="243"/>
      <c r="V237" s="243"/>
      <c r="W237" s="243"/>
      <c r="X237" s="243"/>
    </row>
    <row r="238" ht="12.75" customHeight="1">
      <c r="A238" s="74"/>
      <c r="G238" s="75"/>
      <c r="U238" s="243"/>
      <c r="V238" s="243"/>
      <c r="W238" s="243"/>
      <c r="X238" s="243"/>
    </row>
    <row r="239" ht="12.75" customHeight="1">
      <c r="A239" s="74"/>
      <c r="G239" s="75"/>
      <c r="U239" s="243"/>
      <c r="V239" s="243"/>
      <c r="W239" s="243"/>
      <c r="X239" s="243"/>
    </row>
    <row r="240" ht="12.75" customHeight="1">
      <c r="A240" s="74"/>
      <c r="G240" s="75"/>
      <c r="U240" s="243"/>
      <c r="V240" s="243"/>
      <c r="W240" s="243"/>
      <c r="X240" s="243"/>
    </row>
    <row r="241" ht="12.75" customHeight="1">
      <c r="A241" s="74"/>
      <c r="G241" s="75"/>
      <c r="U241" s="243"/>
      <c r="V241" s="243"/>
      <c r="W241" s="243"/>
      <c r="X241" s="243"/>
    </row>
    <row r="242" ht="12.75" customHeight="1">
      <c r="A242" s="74"/>
      <c r="G242" s="75"/>
      <c r="U242" s="243"/>
      <c r="V242" s="243"/>
      <c r="W242" s="243"/>
      <c r="X242" s="243"/>
    </row>
    <row r="243" ht="12.75" customHeight="1">
      <c r="A243" s="74"/>
      <c r="G243" s="75"/>
      <c r="U243" s="243"/>
      <c r="V243" s="243"/>
      <c r="W243" s="243"/>
      <c r="X243" s="243"/>
    </row>
    <row r="244" ht="12.75" customHeight="1">
      <c r="A244" s="74"/>
      <c r="G244" s="75"/>
      <c r="U244" s="243"/>
      <c r="V244" s="243"/>
      <c r="W244" s="243"/>
      <c r="X244" s="243"/>
    </row>
    <row r="245" ht="12.75" customHeight="1">
      <c r="A245" s="74"/>
      <c r="G245" s="75"/>
      <c r="U245" s="243"/>
      <c r="V245" s="243"/>
      <c r="W245" s="243"/>
      <c r="X245" s="243"/>
    </row>
    <row r="246" ht="12.75" customHeight="1">
      <c r="A246" s="74"/>
      <c r="G246" s="75"/>
      <c r="U246" s="243"/>
      <c r="V246" s="243"/>
      <c r="W246" s="243"/>
      <c r="X246" s="243"/>
    </row>
    <row r="247" ht="12.75" customHeight="1">
      <c r="A247" s="74"/>
      <c r="G247" s="75"/>
      <c r="U247" s="243"/>
      <c r="V247" s="243"/>
      <c r="W247" s="243"/>
      <c r="X247" s="243"/>
    </row>
    <row r="248" ht="12.75" customHeight="1">
      <c r="A248" s="74"/>
      <c r="G248" s="75"/>
      <c r="U248" s="243"/>
      <c r="V248" s="243"/>
      <c r="W248" s="243"/>
      <c r="X248" s="243"/>
    </row>
    <row r="249" ht="12.75" customHeight="1">
      <c r="A249" s="74"/>
      <c r="G249" s="75"/>
      <c r="U249" s="243"/>
      <c r="V249" s="243"/>
      <c r="W249" s="243"/>
      <c r="X249" s="243"/>
    </row>
    <row r="250" ht="12.75" customHeight="1">
      <c r="A250" s="74"/>
      <c r="G250" s="75"/>
      <c r="U250" s="243"/>
      <c r="V250" s="243"/>
      <c r="W250" s="243"/>
      <c r="X250" s="243"/>
    </row>
    <row r="251" ht="12.75" customHeight="1">
      <c r="A251" s="74"/>
      <c r="G251" s="75"/>
      <c r="U251" s="243"/>
      <c r="V251" s="243"/>
      <c r="W251" s="243"/>
      <c r="X251" s="243"/>
    </row>
    <row r="252" ht="12.75" customHeight="1">
      <c r="A252" s="74"/>
      <c r="G252" s="75"/>
      <c r="U252" s="243"/>
      <c r="V252" s="243"/>
      <c r="W252" s="243"/>
      <c r="X252" s="243"/>
    </row>
    <row r="253" ht="12.75" customHeight="1">
      <c r="A253" s="74"/>
      <c r="G253" s="75"/>
      <c r="U253" s="243"/>
      <c r="V253" s="243"/>
      <c r="W253" s="243"/>
      <c r="X253" s="243"/>
    </row>
    <row r="254" ht="12.75" customHeight="1">
      <c r="A254" s="74"/>
      <c r="G254" s="75"/>
      <c r="U254" s="243"/>
      <c r="V254" s="243"/>
      <c r="W254" s="243"/>
      <c r="X254" s="243"/>
    </row>
    <row r="255" ht="15.75" customHeight="1">
      <c r="G255" s="75"/>
    </row>
    <row r="256" ht="15.75" customHeight="1">
      <c r="G256" s="75"/>
    </row>
    <row r="257" ht="15.75" customHeight="1">
      <c r="G257" s="75"/>
    </row>
    <row r="258" ht="15.75" customHeight="1">
      <c r="G258" s="75"/>
    </row>
    <row r="259" ht="15.75" customHeight="1">
      <c r="G259" s="75"/>
    </row>
    <row r="260" ht="15.75" customHeight="1">
      <c r="G260" s="75"/>
    </row>
    <row r="261" ht="15.75" customHeight="1">
      <c r="G261" s="75"/>
    </row>
    <row r="262" ht="15.75" customHeight="1">
      <c r="G262" s="75"/>
    </row>
    <row r="263" ht="15.75" customHeight="1">
      <c r="G263" s="75"/>
    </row>
    <row r="264" ht="15.75" customHeight="1">
      <c r="G264" s="75"/>
    </row>
    <row r="265" ht="15.75" customHeight="1">
      <c r="G265" s="75"/>
    </row>
    <row r="266" ht="15.75" customHeight="1">
      <c r="G266" s="75"/>
    </row>
    <row r="267" ht="15.75" customHeight="1">
      <c r="G267" s="75"/>
    </row>
    <row r="268" ht="15.75" customHeight="1">
      <c r="G268" s="75"/>
    </row>
    <row r="269" ht="15.75" customHeight="1">
      <c r="G269" s="75"/>
    </row>
    <row r="270" ht="15.75" customHeight="1">
      <c r="G270" s="75"/>
    </row>
    <row r="271" ht="15.75" customHeight="1">
      <c r="G271" s="75"/>
    </row>
    <row r="272" ht="15.75" customHeight="1">
      <c r="G272" s="75"/>
    </row>
    <row r="273" ht="15.75" customHeight="1">
      <c r="G273" s="75"/>
    </row>
    <row r="274" ht="15.75" customHeight="1">
      <c r="G274" s="75"/>
    </row>
    <row r="275" ht="15.75" customHeight="1">
      <c r="G275" s="75"/>
    </row>
    <row r="276" ht="15.75" customHeight="1">
      <c r="G276" s="75"/>
    </row>
    <row r="277" ht="15.75" customHeight="1">
      <c r="G277" s="75"/>
    </row>
    <row r="278" ht="15.75" customHeight="1">
      <c r="G278" s="75"/>
    </row>
    <row r="279" ht="15.75" customHeight="1">
      <c r="G279" s="75"/>
    </row>
    <row r="280" ht="15.75" customHeight="1">
      <c r="G280" s="75"/>
    </row>
    <row r="281" ht="15.75" customHeight="1">
      <c r="G281" s="75"/>
    </row>
    <row r="282" ht="15.75" customHeight="1">
      <c r="G282" s="75"/>
    </row>
    <row r="283" ht="15.75" customHeight="1">
      <c r="G283" s="75"/>
    </row>
    <row r="284" ht="15.75" customHeight="1">
      <c r="G284" s="75"/>
    </row>
    <row r="285" ht="15.75" customHeight="1">
      <c r="G285" s="75"/>
    </row>
    <row r="286" ht="15.75" customHeight="1">
      <c r="G286" s="75"/>
    </row>
    <row r="287" ht="15.75" customHeight="1">
      <c r="G287" s="75"/>
    </row>
    <row r="288" ht="15.75" customHeight="1">
      <c r="G288" s="75"/>
    </row>
    <row r="289" ht="15.75" customHeight="1">
      <c r="G289" s="75"/>
    </row>
    <row r="290" ht="15.75" customHeight="1">
      <c r="G290" s="75"/>
    </row>
    <row r="291" ht="15.75" customHeight="1">
      <c r="G291" s="75"/>
    </row>
    <row r="292" ht="15.75" customHeight="1">
      <c r="G292" s="75"/>
    </row>
    <row r="293" ht="15.75" customHeight="1">
      <c r="G293" s="75"/>
    </row>
    <row r="294" ht="15.75" customHeight="1">
      <c r="G294" s="75"/>
    </row>
    <row r="295" ht="15.75" customHeight="1">
      <c r="G295" s="75"/>
    </row>
    <row r="296" ht="15.75" customHeight="1">
      <c r="G296" s="75"/>
    </row>
    <row r="297" ht="15.75" customHeight="1">
      <c r="G297" s="75"/>
    </row>
    <row r="298" ht="15.75" customHeight="1">
      <c r="G298" s="75"/>
    </row>
    <row r="299" ht="15.75" customHeight="1">
      <c r="G299" s="75"/>
    </row>
    <row r="300" ht="15.75" customHeight="1">
      <c r="G300" s="75"/>
    </row>
    <row r="301" ht="15.75" customHeight="1">
      <c r="G301" s="75"/>
    </row>
    <row r="302" ht="15.75" customHeight="1">
      <c r="G302" s="75"/>
    </row>
    <row r="303" ht="15.75" customHeight="1">
      <c r="G303" s="75"/>
    </row>
    <row r="304" ht="15.75" customHeight="1">
      <c r="G304" s="75"/>
    </row>
    <row r="305" ht="15.75" customHeight="1">
      <c r="G305" s="75"/>
    </row>
    <row r="306" ht="15.75" customHeight="1">
      <c r="G306" s="75"/>
    </row>
    <row r="307" ht="15.75" customHeight="1">
      <c r="G307" s="75"/>
    </row>
    <row r="308" ht="15.75" customHeight="1">
      <c r="G308" s="75"/>
    </row>
    <row r="309" ht="15.75" customHeight="1">
      <c r="G309" s="75"/>
    </row>
    <row r="310" ht="15.75" customHeight="1">
      <c r="G310" s="75"/>
    </row>
    <row r="311" ht="15.75" customHeight="1">
      <c r="G311" s="75"/>
    </row>
    <row r="312" ht="15.75" customHeight="1">
      <c r="G312" s="75"/>
    </row>
    <row r="313" ht="15.75" customHeight="1">
      <c r="G313" s="75"/>
    </row>
    <row r="314" ht="15.75" customHeight="1">
      <c r="G314" s="75"/>
    </row>
    <row r="315" ht="15.75" customHeight="1">
      <c r="G315" s="75"/>
    </row>
    <row r="316" ht="15.75" customHeight="1">
      <c r="G316" s="75"/>
    </row>
    <row r="317" ht="15.75" customHeight="1">
      <c r="G317" s="75"/>
    </row>
    <row r="318" ht="15.75" customHeight="1">
      <c r="G318" s="75"/>
    </row>
    <row r="319" ht="15.75" customHeight="1">
      <c r="G319" s="75"/>
    </row>
    <row r="320" ht="15.75" customHeight="1">
      <c r="G320" s="75"/>
    </row>
    <row r="321" ht="15.75" customHeight="1">
      <c r="G321" s="75"/>
    </row>
    <row r="322" ht="15.75" customHeight="1">
      <c r="G322" s="75"/>
    </row>
    <row r="323" ht="15.75" customHeight="1">
      <c r="G323" s="75"/>
    </row>
    <row r="324" ht="15.75" customHeight="1">
      <c r="G324" s="75"/>
    </row>
    <row r="325" ht="15.75" customHeight="1">
      <c r="G325" s="75"/>
    </row>
    <row r="326" ht="15.75" customHeight="1">
      <c r="G326" s="75"/>
    </row>
    <row r="327" ht="15.75" customHeight="1">
      <c r="G327" s="75"/>
    </row>
    <row r="328" ht="15.75" customHeight="1">
      <c r="G328" s="75"/>
    </row>
    <row r="329" ht="15.75" customHeight="1">
      <c r="G329" s="75"/>
    </row>
    <row r="330" ht="15.75" customHeight="1">
      <c r="G330" s="75"/>
    </row>
    <row r="331" ht="15.75" customHeight="1">
      <c r="G331" s="75"/>
    </row>
    <row r="332" ht="15.75" customHeight="1">
      <c r="G332" s="75"/>
    </row>
    <row r="333" ht="15.75" customHeight="1">
      <c r="G333" s="75"/>
    </row>
    <row r="334" ht="15.75" customHeight="1">
      <c r="G334" s="75"/>
    </row>
    <row r="335" ht="15.75" customHeight="1">
      <c r="G335" s="75"/>
    </row>
    <row r="336" ht="15.75" customHeight="1">
      <c r="G336" s="75"/>
    </row>
    <row r="337" ht="15.75" customHeight="1">
      <c r="G337" s="75"/>
    </row>
    <row r="338" ht="15.75" customHeight="1">
      <c r="G338" s="75"/>
    </row>
    <row r="339" ht="15.75" customHeight="1">
      <c r="G339" s="75"/>
    </row>
    <row r="340" ht="15.75" customHeight="1">
      <c r="G340" s="75"/>
    </row>
    <row r="341" ht="15.75" customHeight="1">
      <c r="G341" s="75"/>
    </row>
    <row r="342" ht="15.75" customHeight="1">
      <c r="G342" s="75"/>
    </row>
    <row r="343" ht="15.75" customHeight="1">
      <c r="G343" s="75"/>
    </row>
    <row r="344" ht="15.75" customHeight="1">
      <c r="G344" s="75"/>
    </row>
    <row r="345" ht="15.75" customHeight="1">
      <c r="G345" s="75"/>
    </row>
    <row r="346" ht="15.75" customHeight="1">
      <c r="G346" s="75"/>
    </row>
    <row r="347" ht="15.75" customHeight="1">
      <c r="G347" s="75"/>
    </row>
    <row r="348" ht="15.75" customHeight="1">
      <c r="G348" s="75"/>
    </row>
    <row r="349" ht="15.75" customHeight="1">
      <c r="G349" s="75"/>
    </row>
    <row r="350" ht="15.75" customHeight="1">
      <c r="G350" s="75"/>
    </row>
    <row r="351" ht="15.75" customHeight="1">
      <c r="G351" s="75"/>
    </row>
    <row r="352" ht="15.75" customHeight="1">
      <c r="G352" s="75"/>
    </row>
    <row r="353" ht="15.75" customHeight="1">
      <c r="G353" s="75"/>
    </row>
    <row r="354" ht="15.75" customHeight="1">
      <c r="G354" s="75"/>
    </row>
    <row r="355" ht="15.75" customHeight="1">
      <c r="G355" s="75"/>
    </row>
    <row r="356" ht="15.75" customHeight="1">
      <c r="G356" s="75"/>
    </row>
    <row r="357" ht="15.75" customHeight="1">
      <c r="G357" s="75"/>
    </row>
    <row r="358" ht="15.75" customHeight="1">
      <c r="G358" s="75"/>
    </row>
    <row r="359" ht="15.75" customHeight="1">
      <c r="G359" s="75"/>
    </row>
    <row r="360" ht="15.75" customHeight="1">
      <c r="G360" s="75"/>
    </row>
    <row r="361" ht="15.75" customHeight="1">
      <c r="G361" s="75"/>
    </row>
    <row r="362" ht="15.75" customHeight="1">
      <c r="G362" s="75"/>
    </row>
    <row r="363" ht="15.75" customHeight="1">
      <c r="G363" s="75"/>
    </row>
    <row r="364" ht="15.75" customHeight="1">
      <c r="G364" s="75"/>
    </row>
    <row r="365" ht="15.75" customHeight="1">
      <c r="G365" s="75"/>
    </row>
    <row r="366" ht="15.75" customHeight="1">
      <c r="G366" s="75"/>
    </row>
    <row r="367" ht="15.75" customHeight="1">
      <c r="G367" s="75"/>
    </row>
    <row r="368" ht="15.75" customHeight="1">
      <c r="G368" s="75"/>
    </row>
    <row r="369" ht="15.75" customHeight="1">
      <c r="G369" s="75"/>
    </row>
    <row r="370" ht="15.75" customHeight="1">
      <c r="G370" s="75"/>
    </row>
    <row r="371" ht="15.75" customHeight="1">
      <c r="G371" s="75"/>
    </row>
    <row r="372" ht="15.75" customHeight="1">
      <c r="G372" s="75"/>
    </row>
    <row r="373" ht="15.75" customHeight="1">
      <c r="G373" s="75"/>
    </row>
    <row r="374" ht="15.75" customHeight="1">
      <c r="G374" s="75"/>
    </row>
    <row r="375" ht="15.75" customHeight="1">
      <c r="G375" s="75"/>
    </row>
    <row r="376" ht="15.75" customHeight="1">
      <c r="G376" s="75"/>
    </row>
    <row r="377" ht="15.75" customHeight="1">
      <c r="G377" s="75"/>
    </row>
    <row r="378" ht="15.75" customHeight="1">
      <c r="G378" s="75"/>
    </row>
    <row r="379" ht="15.75" customHeight="1">
      <c r="G379" s="75"/>
    </row>
    <row r="380" ht="15.75" customHeight="1">
      <c r="G380" s="75"/>
    </row>
    <row r="381" ht="15.75" customHeight="1">
      <c r="G381" s="75"/>
    </row>
    <row r="382" ht="15.75" customHeight="1">
      <c r="G382" s="75"/>
    </row>
    <row r="383" ht="15.75" customHeight="1">
      <c r="G383" s="75"/>
    </row>
    <row r="384" ht="15.75" customHeight="1">
      <c r="G384" s="75"/>
    </row>
    <row r="385" ht="15.75" customHeight="1">
      <c r="G385" s="75"/>
    </row>
    <row r="386" ht="15.75" customHeight="1">
      <c r="G386" s="75"/>
    </row>
    <row r="387" ht="15.75" customHeight="1">
      <c r="G387" s="75"/>
    </row>
    <row r="388" ht="15.75" customHeight="1">
      <c r="G388" s="75"/>
    </row>
    <row r="389" ht="15.75" customHeight="1">
      <c r="G389" s="75"/>
    </row>
    <row r="390" ht="15.75" customHeight="1">
      <c r="G390" s="75"/>
    </row>
    <row r="391" ht="15.75" customHeight="1">
      <c r="G391" s="75"/>
    </row>
    <row r="392" ht="15.75" customHeight="1">
      <c r="G392" s="75"/>
    </row>
    <row r="393" ht="15.75" customHeight="1">
      <c r="G393" s="75"/>
    </row>
    <row r="394" ht="15.75" customHeight="1">
      <c r="G394" s="75"/>
    </row>
    <row r="395" ht="15.75" customHeight="1">
      <c r="G395" s="75"/>
    </row>
    <row r="396" ht="15.75" customHeight="1">
      <c r="G396" s="75"/>
    </row>
    <row r="397" ht="15.75" customHeight="1">
      <c r="G397" s="75"/>
    </row>
    <row r="398" ht="15.75" customHeight="1">
      <c r="G398" s="75"/>
    </row>
    <row r="399" ht="15.75" customHeight="1">
      <c r="G399" s="75"/>
    </row>
    <row r="400" ht="15.75" customHeight="1">
      <c r="G400" s="75"/>
    </row>
    <row r="401" ht="15.75" customHeight="1">
      <c r="G401" s="75"/>
    </row>
    <row r="402" ht="15.75" customHeight="1">
      <c r="G402" s="75"/>
    </row>
    <row r="403" ht="15.75" customHeight="1">
      <c r="G403" s="75"/>
    </row>
    <row r="404" ht="15.75" customHeight="1">
      <c r="G404" s="75"/>
    </row>
    <row r="405" ht="15.75" customHeight="1">
      <c r="G405" s="75"/>
    </row>
    <row r="406" ht="15.75" customHeight="1">
      <c r="G406" s="75"/>
    </row>
    <row r="407" ht="15.75" customHeight="1">
      <c r="G407" s="75"/>
    </row>
    <row r="408" ht="15.75" customHeight="1">
      <c r="G408" s="75"/>
    </row>
    <row r="409" ht="15.75" customHeight="1">
      <c r="G409" s="75"/>
    </row>
    <row r="410" ht="15.75" customHeight="1">
      <c r="G410" s="75"/>
    </row>
    <row r="411" ht="15.75" customHeight="1">
      <c r="G411" s="75"/>
    </row>
    <row r="412" ht="15.75" customHeight="1">
      <c r="G412" s="75"/>
    </row>
    <row r="413" ht="15.75" customHeight="1">
      <c r="G413" s="75"/>
    </row>
    <row r="414" ht="15.75" customHeight="1">
      <c r="G414" s="75"/>
    </row>
    <row r="415" ht="15.75" customHeight="1">
      <c r="G415" s="75"/>
    </row>
    <row r="416" ht="15.75" customHeight="1">
      <c r="G416" s="75"/>
    </row>
    <row r="417" ht="15.75" customHeight="1">
      <c r="G417" s="75"/>
    </row>
    <row r="418" ht="15.75" customHeight="1">
      <c r="G418" s="75"/>
    </row>
    <row r="419" ht="15.75" customHeight="1">
      <c r="G419" s="75"/>
    </row>
    <row r="420" ht="15.75" customHeight="1">
      <c r="G420" s="75"/>
    </row>
    <row r="421" ht="15.75" customHeight="1">
      <c r="G421" s="75"/>
    </row>
    <row r="422" ht="15.75" customHeight="1">
      <c r="G422" s="75"/>
    </row>
    <row r="423" ht="15.75" customHeight="1">
      <c r="G423" s="75"/>
    </row>
    <row r="424" ht="15.75" customHeight="1">
      <c r="G424" s="75"/>
    </row>
    <row r="425" ht="15.75" customHeight="1">
      <c r="G425" s="75"/>
    </row>
    <row r="426" ht="15.75" customHeight="1">
      <c r="G426" s="75"/>
    </row>
    <row r="427" ht="15.75" customHeight="1">
      <c r="G427" s="75"/>
    </row>
    <row r="428" ht="15.75" customHeight="1">
      <c r="G428" s="75"/>
    </row>
    <row r="429" ht="15.75" customHeight="1">
      <c r="G429" s="75"/>
    </row>
    <row r="430" ht="15.75" customHeight="1">
      <c r="G430" s="75"/>
    </row>
    <row r="431" ht="15.75" customHeight="1">
      <c r="G431" s="75"/>
    </row>
    <row r="432" ht="15.75" customHeight="1">
      <c r="G432" s="75"/>
    </row>
    <row r="433" ht="15.75" customHeight="1">
      <c r="G433" s="75"/>
    </row>
    <row r="434" ht="15.75" customHeight="1">
      <c r="G434" s="75"/>
    </row>
    <row r="435" ht="15.75" customHeight="1">
      <c r="G435" s="75"/>
    </row>
    <row r="436" ht="15.75" customHeight="1">
      <c r="G436" s="75"/>
    </row>
    <row r="437" ht="15.75" customHeight="1">
      <c r="G437" s="75"/>
    </row>
    <row r="438" ht="15.75" customHeight="1">
      <c r="G438" s="75"/>
    </row>
    <row r="439" ht="15.75" customHeight="1">
      <c r="G439" s="75"/>
    </row>
    <row r="440" ht="15.75" customHeight="1">
      <c r="G440" s="75"/>
    </row>
    <row r="441" ht="15.75" customHeight="1">
      <c r="G441" s="75"/>
    </row>
    <row r="442" ht="15.75" customHeight="1">
      <c r="G442" s="75"/>
    </row>
    <row r="443" ht="15.75" customHeight="1">
      <c r="G443" s="75"/>
    </row>
    <row r="444" ht="15.75" customHeight="1">
      <c r="G444" s="75"/>
    </row>
    <row r="445" ht="15.75" customHeight="1">
      <c r="G445" s="75"/>
    </row>
    <row r="446" ht="15.75" customHeight="1">
      <c r="G446" s="75"/>
    </row>
    <row r="447" ht="15.75" customHeight="1">
      <c r="G447" s="75"/>
    </row>
    <row r="448" ht="15.75" customHeight="1">
      <c r="G448" s="75"/>
    </row>
    <row r="449" ht="15.75" customHeight="1">
      <c r="G449" s="75"/>
    </row>
    <row r="450" ht="15.75" customHeight="1">
      <c r="G450" s="75"/>
    </row>
    <row r="451" ht="15.75" customHeight="1">
      <c r="G451" s="75"/>
    </row>
    <row r="452" ht="15.75" customHeight="1">
      <c r="G452" s="75"/>
    </row>
    <row r="453" ht="15.75" customHeight="1">
      <c r="G453" s="75"/>
    </row>
    <row r="454" ht="15.75" customHeight="1">
      <c r="G454" s="75"/>
    </row>
    <row r="455" ht="15.75" customHeight="1">
      <c r="G455" s="75"/>
    </row>
    <row r="456" ht="15.75" customHeight="1">
      <c r="G456" s="75"/>
    </row>
    <row r="457" ht="15.75" customHeight="1">
      <c r="G457" s="75"/>
    </row>
    <row r="458" ht="15.75" customHeight="1">
      <c r="G458" s="75"/>
    </row>
    <row r="459" ht="15.75" customHeight="1">
      <c r="G459" s="75"/>
    </row>
    <row r="460" ht="15.75" customHeight="1">
      <c r="G460" s="75"/>
    </row>
    <row r="461" ht="15.75" customHeight="1">
      <c r="G461" s="75"/>
    </row>
    <row r="462" ht="15.75" customHeight="1">
      <c r="G462" s="75"/>
    </row>
    <row r="463" ht="15.75" customHeight="1">
      <c r="G463" s="75"/>
    </row>
    <row r="464" ht="15.75" customHeight="1">
      <c r="G464" s="75"/>
    </row>
    <row r="465" ht="15.75" customHeight="1">
      <c r="G465" s="75"/>
    </row>
    <row r="466" ht="15.75" customHeight="1">
      <c r="G466" s="75"/>
    </row>
    <row r="467" ht="15.75" customHeight="1">
      <c r="G467" s="75"/>
    </row>
    <row r="468" ht="15.75" customHeight="1">
      <c r="G468" s="75"/>
    </row>
    <row r="469" ht="15.75" customHeight="1">
      <c r="G469" s="75"/>
    </row>
    <row r="470" ht="15.75" customHeight="1">
      <c r="G470" s="75"/>
    </row>
    <row r="471" ht="15.75" customHeight="1">
      <c r="G471" s="75"/>
    </row>
    <row r="472" ht="15.75" customHeight="1">
      <c r="G472" s="75"/>
    </row>
    <row r="473" ht="15.75" customHeight="1">
      <c r="G473" s="75"/>
    </row>
    <row r="474" ht="15.75" customHeight="1">
      <c r="G474" s="75"/>
    </row>
    <row r="475" ht="15.75" customHeight="1">
      <c r="G475" s="75"/>
    </row>
    <row r="476" ht="15.75" customHeight="1">
      <c r="G476" s="75"/>
    </row>
    <row r="477" ht="15.75" customHeight="1">
      <c r="G477" s="75"/>
    </row>
    <row r="478" ht="15.75" customHeight="1">
      <c r="G478" s="75"/>
    </row>
    <row r="479" ht="15.75" customHeight="1">
      <c r="G479" s="75"/>
    </row>
    <row r="480" ht="15.75" customHeight="1">
      <c r="G480" s="75"/>
    </row>
    <row r="481" ht="15.75" customHeight="1">
      <c r="G481" s="75"/>
    </row>
    <row r="482" ht="15.75" customHeight="1">
      <c r="G482" s="75"/>
    </row>
    <row r="483" ht="15.75" customHeight="1">
      <c r="G483" s="75"/>
    </row>
    <row r="484" ht="15.75" customHeight="1">
      <c r="G484" s="75"/>
    </row>
    <row r="485" ht="15.75" customHeight="1">
      <c r="G485" s="75"/>
    </row>
    <row r="486" ht="15.75" customHeight="1">
      <c r="G486" s="75"/>
    </row>
    <row r="487" ht="15.75" customHeight="1">
      <c r="G487" s="75"/>
    </row>
    <row r="488" ht="15.75" customHeight="1">
      <c r="G488" s="75"/>
    </row>
    <row r="489" ht="15.75" customHeight="1">
      <c r="G489" s="75"/>
    </row>
    <row r="490" ht="15.75" customHeight="1">
      <c r="G490" s="75"/>
    </row>
    <row r="491" ht="15.75" customHeight="1">
      <c r="G491" s="75"/>
    </row>
    <row r="492" ht="15.75" customHeight="1">
      <c r="G492" s="75"/>
    </row>
    <row r="493" ht="15.75" customHeight="1">
      <c r="G493" s="75"/>
    </row>
    <row r="494" ht="15.75" customHeight="1">
      <c r="G494" s="75"/>
    </row>
    <row r="495" ht="15.75" customHeight="1">
      <c r="G495" s="75"/>
    </row>
    <row r="496" ht="15.75" customHeight="1">
      <c r="G496" s="75"/>
    </row>
    <row r="497" ht="15.75" customHeight="1">
      <c r="G497" s="75"/>
    </row>
    <row r="498" ht="15.75" customHeight="1">
      <c r="G498" s="75"/>
    </row>
    <row r="499" ht="15.75" customHeight="1">
      <c r="G499" s="75"/>
    </row>
    <row r="500" ht="15.75" customHeight="1">
      <c r="G500" s="75"/>
    </row>
    <row r="501" ht="15.75" customHeight="1">
      <c r="G501" s="75"/>
    </row>
    <row r="502" ht="15.75" customHeight="1">
      <c r="G502" s="75"/>
    </row>
    <row r="503" ht="15.75" customHeight="1">
      <c r="G503" s="75"/>
    </row>
    <row r="504" ht="15.75" customHeight="1">
      <c r="G504" s="75"/>
    </row>
    <row r="505" ht="15.75" customHeight="1">
      <c r="G505" s="75"/>
    </row>
    <row r="506" ht="15.75" customHeight="1">
      <c r="G506" s="75"/>
    </row>
    <row r="507" ht="15.75" customHeight="1">
      <c r="G507" s="75"/>
    </row>
    <row r="508" ht="15.75" customHeight="1">
      <c r="G508" s="75"/>
    </row>
    <row r="509" ht="15.75" customHeight="1">
      <c r="G509" s="75"/>
    </row>
    <row r="510" ht="15.75" customHeight="1">
      <c r="G510" s="75"/>
    </row>
    <row r="511" ht="15.75" customHeight="1">
      <c r="G511" s="75"/>
    </row>
    <row r="512" ht="15.75" customHeight="1">
      <c r="G512" s="75"/>
    </row>
    <row r="513" ht="15.75" customHeight="1">
      <c r="G513" s="75"/>
    </row>
    <row r="514" ht="15.75" customHeight="1">
      <c r="G514" s="75"/>
    </row>
    <row r="515" ht="15.75" customHeight="1">
      <c r="G515" s="75"/>
    </row>
    <row r="516" ht="15.75" customHeight="1">
      <c r="G516" s="75"/>
    </row>
    <row r="517" ht="15.75" customHeight="1">
      <c r="G517" s="75"/>
    </row>
    <row r="518" ht="15.75" customHeight="1">
      <c r="G518" s="75"/>
    </row>
    <row r="519" ht="15.75" customHeight="1">
      <c r="G519" s="75"/>
    </row>
    <row r="520" ht="15.75" customHeight="1">
      <c r="G520" s="75"/>
    </row>
    <row r="521" ht="15.75" customHeight="1">
      <c r="G521" s="75"/>
    </row>
    <row r="522" ht="15.75" customHeight="1">
      <c r="G522" s="75"/>
    </row>
    <row r="523" ht="15.75" customHeight="1">
      <c r="G523" s="75"/>
    </row>
    <row r="524" ht="15.75" customHeight="1">
      <c r="G524" s="75"/>
    </row>
    <row r="525" ht="15.75" customHeight="1">
      <c r="G525" s="75"/>
    </row>
    <row r="526" ht="15.75" customHeight="1">
      <c r="G526" s="75"/>
    </row>
    <row r="527" ht="15.75" customHeight="1">
      <c r="G527" s="75"/>
    </row>
    <row r="528" ht="15.75" customHeight="1">
      <c r="G528" s="75"/>
    </row>
    <row r="529" ht="15.75" customHeight="1">
      <c r="G529" s="75"/>
    </row>
    <row r="530" ht="15.75" customHeight="1">
      <c r="G530" s="75"/>
    </row>
    <row r="531" ht="15.75" customHeight="1">
      <c r="G531" s="75"/>
    </row>
    <row r="532" ht="15.75" customHeight="1">
      <c r="G532" s="75"/>
    </row>
    <row r="533" ht="15.75" customHeight="1">
      <c r="G533" s="75"/>
    </row>
    <row r="534" ht="15.75" customHeight="1">
      <c r="G534" s="75"/>
    </row>
    <row r="535" ht="15.75" customHeight="1">
      <c r="G535" s="75"/>
    </row>
    <row r="536" ht="15.75" customHeight="1">
      <c r="G536" s="75"/>
    </row>
    <row r="537" ht="15.75" customHeight="1">
      <c r="G537" s="75"/>
    </row>
    <row r="538" ht="15.75" customHeight="1">
      <c r="G538" s="75"/>
    </row>
    <row r="539" ht="15.75" customHeight="1">
      <c r="G539" s="75"/>
    </row>
    <row r="540" ht="15.75" customHeight="1">
      <c r="G540" s="75"/>
    </row>
    <row r="541" ht="15.75" customHeight="1">
      <c r="G541" s="75"/>
    </row>
    <row r="542" ht="15.75" customHeight="1">
      <c r="G542" s="75"/>
    </row>
    <row r="543" ht="15.75" customHeight="1">
      <c r="G543" s="75"/>
    </row>
    <row r="544" ht="15.75" customHeight="1">
      <c r="G544" s="75"/>
    </row>
    <row r="545" ht="15.75" customHeight="1">
      <c r="G545" s="75"/>
    </row>
    <row r="546" ht="15.75" customHeight="1">
      <c r="G546" s="75"/>
    </row>
    <row r="547" ht="15.75" customHeight="1">
      <c r="G547" s="75"/>
    </row>
    <row r="548" ht="15.75" customHeight="1">
      <c r="G548" s="75"/>
    </row>
    <row r="549" ht="15.75" customHeight="1">
      <c r="G549" s="75"/>
    </row>
    <row r="550" ht="15.75" customHeight="1">
      <c r="G550" s="75"/>
    </row>
    <row r="551" ht="15.75" customHeight="1">
      <c r="G551" s="75"/>
    </row>
    <row r="552" ht="15.75" customHeight="1">
      <c r="G552" s="75"/>
    </row>
    <row r="553" ht="15.75" customHeight="1">
      <c r="G553" s="75"/>
    </row>
    <row r="554" ht="15.75" customHeight="1">
      <c r="G554" s="75"/>
    </row>
    <row r="555" ht="15.75" customHeight="1">
      <c r="G555" s="75"/>
    </row>
    <row r="556" ht="15.75" customHeight="1">
      <c r="G556" s="75"/>
    </row>
    <row r="557" ht="15.75" customHeight="1">
      <c r="G557" s="75"/>
    </row>
    <row r="558" ht="15.75" customHeight="1">
      <c r="G558" s="75"/>
    </row>
    <row r="559" ht="15.75" customHeight="1">
      <c r="G559" s="75"/>
    </row>
    <row r="560" ht="15.75" customHeight="1">
      <c r="G560" s="75"/>
    </row>
    <row r="561" ht="15.75" customHeight="1">
      <c r="G561" s="75"/>
    </row>
    <row r="562" ht="15.75" customHeight="1">
      <c r="G562" s="75"/>
    </row>
    <row r="563" ht="15.75" customHeight="1">
      <c r="G563" s="75"/>
    </row>
    <row r="564" ht="15.75" customHeight="1">
      <c r="G564" s="75"/>
    </row>
    <row r="565" ht="15.75" customHeight="1">
      <c r="G565" s="75"/>
    </row>
    <row r="566" ht="15.75" customHeight="1">
      <c r="G566" s="75"/>
    </row>
    <row r="567" ht="15.75" customHeight="1">
      <c r="G567" s="75"/>
    </row>
    <row r="568" ht="15.75" customHeight="1">
      <c r="G568" s="75"/>
    </row>
    <row r="569" ht="15.75" customHeight="1">
      <c r="G569" s="75"/>
    </row>
    <row r="570" ht="15.75" customHeight="1">
      <c r="G570" s="75"/>
    </row>
    <row r="571" ht="15.75" customHeight="1">
      <c r="G571" s="75"/>
    </row>
    <row r="572" ht="15.75" customHeight="1">
      <c r="G572" s="75"/>
    </row>
    <row r="573" ht="15.75" customHeight="1">
      <c r="G573" s="75"/>
    </row>
    <row r="574" ht="15.75" customHeight="1">
      <c r="G574" s="75"/>
    </row>
    <row r="575" ht="15.75" customHeight="1">
      <c r="G575" s="75"/>
    </row>
    <row r="576" ht="15.75" customHeight="1">
      <c r="G576" s="75"/>
    </row>
    <row r="577" ht="15.75" customHeight="1">
      <c r="G577" s="75"/>
    </row>
    <row r="578" ht="15.75" customHeight="1">
      <c r="G578" s="75"/>
    </row>
    <row r="579" ht="15.75" customHeight="1">
      <c r="G579" s="75"/>
    </row>
    <row r="580" ht="15.75" customHeight="1">
      <c r="G580" s="75"/>
    </row>
    <row r="581" ht="15.75" customHeight="1">
      <c r="G581" s="75"/>
    </row>
    <row r="582" ht="15.75" customHeight="1">
      <c r="G582" s="75"/>
    </row>
    <row r="583" ht="15.75" customHeight="1">
      <c r="G583" s="75"/>
    </row>
    <row r="584" ht="15.75" customHeight="1">
      <c r="G584" s="75"/>
    </row>
    <row r="585" ht="15.75" customHeight="1">
      <c r="G585" s="75"/>
    </row>
    <row r="586" ht="15.75" customHeight="1">
      <c r="G586" s="75"/>
    </row>
    <row r="587" ht="15.75" customHeight="1">
      <c r="G587" s="75"/>
    </row>
    <row r="588" ht="15.75" customHeight="1">
      <c r="G588" s="75"/>
    </row>
    <row r="589" ht="15.75" customHeight="1">
      <c r="G589" s="75"/>
    </row>
    <row r="590" ht="15.75" customHeight="1">
      <c r="G590" s="75"/>
    </row>
    <row r="591" ht="15.75" customHeight="1">
      <c r="G591" s="75"/>
    </row>
    <row r="592" ht="15.75" customHeight="1">
      <c r="G592" s="75"/>
    </row>
    <row r="593" ht="15.75" customHeight="1">
      <c r="G593" s="75"/>
    </row>
    <row r="594" ht="15.75" customHeight="1">
      <c r="G594" s="75"/>
    </row>
    <row r="595" ht="15.75" customHeight="1">
      <c r="G595" s="75"/>
    </row>
    <row r="596" ht="15.75" customHeight="1">
      <c r="G596" s="75"/>
    </row>
    <row r="597" ht="15.75" customHeight="1">
      <c r="G597" s="75"/>
    </row>
    <row r="598" ht="15.75" customHeight="1">
      <c r="G598" s="75"/>
    </row>
    <row r="599" ht="15.75" customHeight="1">
      <c r="G599" s="75"/>
    </row>
    <row r="600" ht="15.75" customHeight="1">
      <c r="G600" s="75"/>
    </row>
    <row r="601" ht="15.75" customHeight="1">
      <c r="G601" s="75"/>
    </row>
    <row r="602" ht="15.75" customHeight="1">
      <c r="G602" s="75"/>
    </row>
    <row r="603" ht="15.75" customHeight="1">
      <c r="G603" s="75"/>
    </row>
    <row r="604" ht="15.75" customHeight="1">
      <c r="G604" s="75"/>
    </row>
    <row r="605" ht="15.75" customHeight="1">
      <c r="G605" s="75"/>
    </row>
    <row r="606" ht="15.75" customHeight="1">
      <c r="G606" s="75"/>
    </row>
    <row r="607" ht="15.75" customHeight="1">
      <c r="G607" s="75"/>
    </row>
    <row r="608" ht="15.75" customHeight="1">
      <c r="G608" s="75"/>
    </row>
    <row r="609" ht="15.75" customHeight="1">
      <c r="G609" s="75"/>
    </row>
    <row r="610" ht="15.75" customHeight="1">
      <c r="G610" s="75"/>
    </row>
    <row r="611" ht="15.75" customHeight="1">
      <c r="G611" s="75"/>
    </row>
    <row r="612" ht="15.75" customHeight="1">
      <c r="G612" s="75"/>
    </row>
    <row r="613" ht="15.75" customHeight="1">
      <c r="G613" s="75"/>
    </row>
    <row r="614" ht="15.75" customHeight="1">
      <c r="G614" s="75"/>
    </row>
    <row r="615" ht="15.75" customHeight="1">
      <c r="G615" s="75"/>
    </row>
    <row r="616" ht="15.75" customHeight="1">
      <c r="G616" s="75"/>
    </row>
    <row r="617" ht="15.75" customHeight="1">
      <c r="G617" s="75"/>
    </row>
    <row r="618" ht="15.75" customHeight="1">
      <c r="G618" s="75"/>
    </row>
    <row r="619" ht="15.75" customHeight="1">
      <c r="G619" s="75"/>
    </row>
    <row r="620" ht="15.75" customHeight="1">
      <c r="G620" s="75"/>
    </row>
    <row r="621" ht="15.75" customHeight="1">
      <c r="G621" s="75"/>
    </row>
    <row r="622" ht="15.75" customHeight="1">
      <c r="G622" s="75"/>
    </row>
    <row r="623" ht="15.75" customHeight="1">
      <c r="G623" s="75"/>
    </row>
    <row r="624" ht="15.75" customHeight="1">
      <c r="G624" s="75"/>
    </row>
    <row r="625" ht="15.75" customHeight="1">
      <c r="G625" s="75"/>
    </row>
    <row r="626" ht="15.75" customHeight="1">
      <c r="G626" s="75"/>
    </row>
    <row r="627" ht="15.75" customHeight="1">
      <c r="G627" s="75"/>
    </row>
    <row r="628" ht="15.75" customHeight="1">
      <c r="G628" s="75"/>
    </row>
    <row r="629" ht="15.75" customHeight="1">
      <c r="G629" s="75"/>
    </row>
    <row r="630" ht="15.75" customHeight="1">
      <c r="G630" s="75"/>
    </row>
    <row r="631" ht="15.75" customHeight="1">
      <c r="G631" s="75"/>
    </row>
    <row r="632" ht="15.75" customHeight="1">
      <c r="G632" s="75"/>
    </row>
    <row r="633" ht="15.75" customHeight="1">
      <c r="G633" s="75"/>
    </row>
    <row r="634" ht="15.75" customHeight="1">
      <c r="G634" s="75"/>
    </row>
    <row r="635" ht="15.75" customHeight="1">
      <c r="G635" s="75"/>
    </row>
    <row r="636" ht="15.75" customHeight="1">
      <c r="G636" s="75"/>
    </row>
    <row r="637" ht="15.75" customHeight="1">
      <c r="G637" s="75"/>
    </row>
    <row r="638" ht="15.75" customHeight="1">
      <c r="G638" s="75"/>
    </row>
    <row r="639" ht="15.75" customHeight="1">
      <c r="G639" s="75"/>
    </row>
    <row r="640" ht="15.75" customHeight="1">
      <c r="G640" s="75"/>
    </row>
    <row r="641" ht="15.75" customHeight="1">
      <c r="G641" s="75"/>
    </row>
    <row r="642" ht="15.75" customHeight="1">
      <c r="G642" s="75"/>
    </row>
    <row r="643" ht="15.75" customHeight="1">
      <c r="G643" s="75"/>
    </row>
    <row r="644" ht="15.75" customHeight="1">
      <c r="G644" s="75"/>
    </row>
    <row r="645" ht="15.75" customHeight="1">
      <c r="G645" s="75"/>
    </row>
    <row r="646" ht="15.75" customHeight="1">
      <c r="G646" s="75"/>
    </row>
    <row r="647" ht="15.75" customHeight="1">
      <c r="G647" s="75"/>
    </row>
    <row r="648" ht="15.75" customHeight="1">
      <c r="G648" s="75"/>
    </row>
    <row r="649" ht="15.75" customHeight="1">
      <c r="G649" s="75"/>
    </row>
    <row r="650" ht="15.75" customHeight="1">
      <c r="G650" s="75"/>
    </row>
    <row r="651" ht="15.75" customHeight="1">
      <c r="G651" s="75"/>
    </row>
    <row r="652" ht="15.75" customHeight="1">
      <c r="G652" s="75"/>
    </row>
    <row r="653" ht="15.75" customHeight="1">
      <c r="G653" s="75"/>
    </row>
    <row r="654" ht="15.75" customHeight="1">
      <c r="G654" s="75"/>
    </row>
    <row r="655" ht="15.75" customHeight="1">
      <c r="G655" s="75"/>
    </row>
    <row r="656" ht="15.75" customHeight="1">
      <c r="G656" s="75"/>
    </row>
    <row r="657" ht="15.75" customHeight="1">
      <c r="G657" s="75"/>
    </row>
    <row r="658" ht="15.75" customHeight="1">
      <c r="G658" s="75"/>
    </row>
    <row r="659" ht="15.75" customHeight="1">
      <c r="G659" s="75"/>
    </row>
    <row r="660" ht="15.75" customHeight="1">
      <c r="G660" s="75"/>
    </row>
    <row r="661" ht="15.75" customHeight="1">
      <c r="G661" s="75"/>
    </row>
    <row r="662" ht="15.75" customHeight="1">
      <c r="G662" s="75"/>
    </row>
    <row r="663" ht="15.75" customHeight="1">
      <c r="G663" s="75"/>
    </row>
    <row r="664" ht="15.75" customHeight="1">
      <c r="G664" s="75"/>
    </row>
    <row r="665" ht="15.75" customHeight="1">
      <c r="G665" s="75"/>
    </row>
    <row r="666" ht="15.75" customHeight="1">
      <c r="G666" s="75"/>
    </row>
    <row r="667" ht="15.75" customHeight="1">
      <c r="G667" s="75"/>
    </row>
    <row r="668" ht="15.75" customHeight="1">
      <c r="G668" s="75"/>
    </row>
    <row r="669" ht="15.75" customHeight="1">
      <c r="G669" s="75"/>
    </row>
    <row r="670" ht="15.75" customHeight="1">
      <c r="G670" s="75"/>
    </row>
    <row r="671" ht="15.75" customHeight="1">
      <c r="G671" s="75"/>
    </row>
    <row r="672" ht="15.75" customHeight="1">
      <c r="G672" s="75"/>
    </row>
    <row r="673" ht="15.75" customHeight="1">
      <c r="G673" s="75"/>
    </row>
    <row r="674" ht="15.75" customHeight="1">
      <c r="G674" s="75"/>
    </row>
    <row r="675" ht="15.75" customHeight="1">
      <c r="G675" s="75"/>
    </row>
    <row r="676" ht="15.75" customHeight="1">
      <c r="G676" s="75"/>
    </row>
    <row r="677" ht="15.75" customHeight="1">
      <c r="G677" s="75"/>
    </row>
    <row r="678" ht="15.75" customHeight="1">
      <c r="G678" s="75"/>
    </row>
    <row r="679" ht="15.75" customHeight="1">
      <c r="G679" s="75"/>
    </row>
    <row r="680" ht="15.75" customHeight="1">
      <c r="G680" s="75"/>
    </row>
    <row r="681" ht="15.75" customHeight="1">
      <c r="G681" s="75"/>
    </row>
    <row r="682" ht="15.75" customHeight="1">
      <c r="G682" s="75"/>
    </row>
    <row r="683" ht="15.75" customHeight="1">
      <c r="G683" s="75"/>
    </row>
    <row r="684" ht="15.75" customHeight="1">
      <c r="G684" s="75"/>
    </row>
    <row r="685" ht="15.75" customHeight="1">
      <c r="G685" s="75"/>
    </row>
    <row r="686" ht="15.75" customHeight="1">
      <c r="G686" s="75"/>
    </row>
    <row r="687" ht="15.75" customHeight="1">
      <c r="G687" s="75"/>
    </row>
    <row r="688" ht="15.75" customHeight="1">
      <c r="G688" s="75"/>
    </row>
    <row r="689" ht="15.75" customHeight="1">
      <c r="G689" s="75"/>
    </row>
    <row r="690" ht="15.75" customHeight="1">
      <c r="G690" s="75"/>
    </row>
    <row r="691" ht="15.75" customHeight="1">
      <c r="G691" s="75"/>
    </row>
    <row r="692" ht="15.75" customHeight="1">
      <c r="G692" s="75"/>
    </row>
    <row r="693" ht="15.75" customHeight="1">
      <c r="G693" s="75"/>
    </row>
    <row r="694" ht="15.75" customHeight="1">
      <c r="G694" s="75"/>
    </row>
    <row r="695" ht="15.75" customHeight="1">
      <c r="G695" s="75"/>
    </row>
    <row r="696" ht="15.75" customHeight="1">
      <c r="G696" s="75"/>
    </row>
    <row r="697" ht="15.75" customHeight="1">
      <c r="G697" s="75"/>
    </row>
    <row r="698" ht="15.75" customHeight="1">
      <c r="G698" s="75"/>
    </row>
    <row r="699" ht="15.75" customHeight="1">
      <c r="G699" s="75"/>
    </row>
    <row r="700" ht="15.75" customHeight="1">
      <c r="G700" s="75"/>
    </row>
    <row r="701" ht="15.75" customHeight="1">
      <c r="G701" s="75"/>
    </row>
    <row r="702" ht="15.75" customHeight="1">
      <c r="G702" s="75"/>
    </row>
    <row r="703" ht="15.75" customHeight="1">
      <c r="G703" s="75"/>
    </row>
    <row r="704" ht="15.75" customHeight="1">
      <c r="G704" s="75"/>
    </row>
    <row r="705" ht="15.75" customHeight="1">
      <c r="G705" s="75"/>
    </row>
    <row r="706" ht="15.75" customHeight="1">
      <c r="G706" s="75"/>
    </row>
    <row r="707" ht="15.75" customHeight="1">
      <c r="G707" s="75"/>
    </row>
    <row r="708" ht="15.75" customHeight="1">
      <c r="G708" s="75"/>
    </row>
    <row r="709" ht="15.75" customHeight="1">
      <c r="G709" s="75"/>
    </row>
    <row r="710" ht="15.75" customHeight="1">
      <c r="G710" s="75"/>
    </row>
    <row r="711" ht="15.75" customHeight="1">
      <c r="G711" s="75"/>
    </row>
    <row r="712" ht="15.75" customHeight="1">
      <c r="G712" s="75"/>
    </row>
    <row r="713" ht="15.75" customHeight="1">
      <c r="G713" s="75"/>
    </row>
    <row r="714" ht="15.75" customHeight="1">
      <c r="G714" s="75"/>
    </row>
    <row r="715" ht="15.75" customHeight="1">
      <c r="G715" s="75"/>
    </row>
    <row r="716" ht="15.75" customHeight="1">
      <c r="G716" s="75"/>
    </row>
    <row r="717" ht="15.75" customHeight="1">
      <c r="G717" s="75"/>
    </row>
    <row r="718" ht="15.75" customHeight="1">
      <c r="G718" s="75"/>
    </row>
    <row r="719" ht="15.75" customHeight="1">
      <c r="G719" s="75"/>
    </row>
    <row r="720" ht="15.75" customHeight="1">
      <c r="G720" s="75"/>
    </row>
    <row r="721" ht="15.75" customHeight="1">
      <c r="G721" s="75"/>
    </row>
    <row r="722" ht="15.75" customHeight="1">
      <c r="G722" s="75"/>
    </row>
    <row r="723" ht="15.75" customHeight="1">
      <c r="G723" s="75"/>
    </row>
    <row r="724" ht="15.75" customHeight="1">
      <c r="G724" s="75"/>
    </row>
    <row r="725" ht="15.75" customHeight="1">
      <c r="G725" s="75"/>
    </row>
    <row r="726" ht="15.75" customHeight="1">
      <c r="G726" s="75"/>
    </row>
    <row r="727" ht="15.75" customHeight="1">
      <c r="G727" s="75"/>
    </row>
    <row r="728" ht="15.75" customHeight="1">
      <c r="G728" s="75"/>
    </row>
    <row r="729" ht="15.75" customHeight="1">
      <c r="G729" s="75"/>
    </row>
    <row r="730" ht="15.75" customHeight="1">
      <c r="G730" s="75"/>
    </row>
    <row r="731" ht="15.75" customHeight="1">
      <c r="G731" s="75"/>
    </row>
    <row r="732" ht="15.75" customHeight="1">
      <c r="G732" s="75"/>
    </row>
    <row r="733" ht="15.75" customHeight="1">
      <c r="G733" s="75"/>
    </row>
    <row r="734" ht="15.75" customHeight="1">
      <c r="G734" s="75"/>
    </row>
    <row r="735" ht="15.75" customHeight="1">
      <c r="G735" s="75"/>
    </row>
    <row r="736" ht="15.75" customHeight="1">
      <c r="G736" s="75"/>
    </row>
    <row r="737" ht="15.75" customHeight="1">
      <c r="G737" s="75"/>
    </row>
    <row r="738" ht="15.75" customHeight="1">
      <c r="G738" s="75"/>
    </row>
    <row r="739" ht="15.75" customHeight="1">
      <c r="G739" s="75"/>
    </row>
    <row r="740" ht="15.75" customHeight="1">
      <c r="G740" s="75"/>
    </row>
    <row r="741" ht="15.75" customHeight="1">
      <c r="G741" s="75"/>
    </row>
    <row r="742" ht="15.75" customHeight="1">
      <c r="G742" s="75"/>
    </row>
    <row r="743" ht="15.75" customHeight="1">
      <c r="G743" s="75"/>
    </row>
    <row r="744" ht="15.75" customHeight="1">
      <c r="G744" s="75"/>
    </row>
    <row r="745" ht="15.75" customHeight="1">
      <c r="G745" s="75"/>
    </row>
    <row r="746" ht="15.75" customHeight="1">
      <c r="G746" s="75"/>
    </row>
    <row r="747" ht="15.75" customHeight="1">
      <c r="G747" s="75"/>
    </row>
    <row r="748" ht="15.75" customHeight="1">
      <c r="G748" s="75"/>
    </row>
    <row r="749" ht="15.75" customHeight="1">
      <c r="G749" s="75"/>
    </row>
    <row r="750" ht="15.75" customHeight="1">
      <c r="G750" s="75"/>
    </row>
    <row r="751" ht="15.75" customHeight="1">
      <c r="G751" s="75"/>
    </row>
    <row r="752" ht="15.75" customHeight="1">
      <c r="G752" s="75"/>
    </row>
    <row r="753" ht="15.75" customHeight="1">
      <c r="G753" s="75"/>
    </row>
    <row r="754" ht="15.75" customHeight="1">
      <c r="G754" s="75"/>
    </row>
    <row r="755" ht="15.75" customHeight="1">
      <c r="G755" s="75"/>
    </row>
    <row r="756" ht="15.75" customHeight="1">
      <c r="G756" s="75"/>
    </row>
    <row r="757" ht="15.75" customHeight="1">
      <c r="G757" s="75"/>
    </row>
    <row r="758" ht="15.75" customHeight="1">
      <c r="G758" s="75"/>
    </row>
    <row r="759" ht="15.75" customHeight="1">
      <c r="G759" s="75"/>
    </row>
    <row r="760" ht="15.75" customHeight="1">
      <c r="G760" s="75"/>
    </row>
    <row r="761" ht="15.75" customHeight="1">
      <c r="G761" s="75"/>
    </row>
    <row r="762" ht="15.75" customHeight="1">
      <c r="G762" s="75"/>
    </row>
    <row r="763" ht="15.75" customHeight="1">
      <c r="G763" s="75"/>
    </row>
    <row r="764" ht="15.75" customHeight="1">
      <c r="G764" s="75"/>
    </row>
    <row r="765" ht="15.75" customHeight="1">
      <c r="G765" s="75"/>
    </row>
    <row r="766" ht="15.75" customHeight="1">
      <c r="G766" s="75"/>
    </row>
    <row r="767" ht="15.75" customHeight="1">
      <c r="G767" s="75"/>
    </row>
    <row r="768" ht="15.75" customHeight="1">
      <c r="G768" s="75"/>
    </row>
    <row r="769" ht="15.75" customHeight="1">
      <c r="G769" s="75"/>
    </row>
    <row r="770" ht="15.75" customHeight="1">
      <c r="G770" s="75"/>
    </row>
    <row r="771" ht="15.75" customHeight="1">
      <c r="G771" s="75"/>
    </row>
    <row r="772" ht="15.75" customHeight="1">
      <c r="G772" s="75"/>
    </row>
    <row r="773" ht="15.75" customHeight="1">
      <c r="G773" s="75"/>
    </row>
    <row r="774" ht="15.75" customHeight="1">
      <c r="G774" s="75"/>
    </row>
    <row r="775" ht="15.75" customHeight="1">
      <c r="G775" s="75"/>
    </row>
    <row r="776" ht="15.75" customHeight="1">
      <c r="G776" s="75"/>
    </row>
    <row r="777" ht="15.75" customHeight="1">
      <c r="G777" s="75"/>
    </row>
    <row r="778" ht="15.75" customHeight="1">
      <c r="G778" s="75"/>
    </row>
    <row r="779" ht="15.75" customHeight="1">
      <c r="G779" s="75"/>
    </row>
    <row r="780" ht="15.75" customHeight="1">
      <c r="G780" s="75"/>
    </row>
    <row r="781" ht="15.75" customHeight="1">
      <c r="G781" s="75"/>
    </row>
    <row r="782" ht="15.75" customHeight="1">
      <c r="G782" s="75"/>
    </row>
    <row r="783" ht="15.75" customHeight="1">
      <c r="G783" s="75"/>
    </row>
    <row r="784" ht="15.75" customHeight="1">
      <c r="G784" s="75"/>
    </row>
    <row r="785" ht="15.75" customHeight="1">
      <c r="G785" s="75"/>
    </row>
    <row r="786" ht="15.75" customHeight="1">
      <c r="G786" s="75"/>
    </row>
    <row r="787" ht="15.75" customHeight="1">
      <c r="G787" s="75"/>
    </row>
    <row r="788" ht="15.75" customHeight="1">
      <c r="G788" s="75"/>
    </row>
    <row r="789" ht="15.75" customHeight="1">
      <c r="G789" s="75"/>
    </row>
    <row r="790" ht="15.75" customHeight="1">
      <c r="G790" s="75"/>
    </row>
    <row r="791" ht="15.75" customHeight="1">
      <c r="G791" s="75"/>
    </row>
    <row r="792" ht="15.75" customHeight="1">
      <c r="G792" s="75"/>
    </row>
    <row r="793" ht="15.75" customHeight="1">
      <c r="G793" s="75"/>
    </row>
    <row r="794" ht="15.75" customHeight="1">
      <c r="G794" s="75"/>
    </row>
    <row r="795" ht="15.75" customHeight="1">
      <c r="G795" s="75"/>
    </row>
    <row r="796" ht="15.75" customHeight="1">
      <c r="G796" s="75"/>
    </row>
    <row r="797" ht="15.75" customHeight="1">
      <c r="G797" s="75"/>
    </row>
    <row r="798" ht="15.75" customHeight="1">
      <c r="G798" s="75"/>
    </row>
    <row r="799" ht="15.75" customHeight="1">
      <c r="G799" s="75"/>
    </row>
    <row r="800" ht="15.75" customHeight="1">
      <c r="G800" s="75"/>
    </row>
    <row r="801" ht="15.75" customHeight="1">
      <c r="G801" s="75"/>
    </row>
    <row r="802" ht="15.75" customHeight="1">
      <c r="G802" s="75"/>
    </row>
    <row r="803" ht="15.75" customHeight="1">
      <c r="G803" s="75"/>
    </row>
    <row r="804" ht="15.75" customHeight="1">
      <c r="G804" s="75"/>
    </row>
    <row r="805" ht="15.75" customHeight="1">
      <c r="G805" s="75"/>
    </row>
    <row r="806" ht="15.75" customHeight="1">
      <c r="G806" s="75"/>
    </row>
    <row r="807" ht="15.75" customHeight="1">
      <c r="G807" s="75"/>
    </row>
    <row r="808" ht="15.75" customHeight="1">
      <c r="G808" s="75"/>
    </row>
    <row r="809" ht="15.75" customHeight="1">
      <c r="G809" s="75"/>
    </row>
    <row r="810" ht="15.75" customHeight="1">
      <c r="G810" s="75"/>
    </row>
    <row r="811" ht="15.75" customHeight="1">
      <c r="G811" s="75"/>
    </row>
    <row r="812" ht="15.75" customHeight="1">
      <c r="G812" s="75"/>
    </row>
    <row r="813" ht="15.75" customHeight="1">
      <c r="G813" s="75"/>
    </row>
    <row r="814" ht="15.75" customHeight="1">
      <c r="G814" s="75"/>
    </row>
    <row r="815" ht="15.75" customHeight="1">
      <c r="G815" s="75"/>
    </row>
    <row r="816" ht="15.75" customHeight="1">
      <c r="G816" s="75"/>
    </row>
    <row r="817" ht="15.75" customHeight="1">
      <c r="G817" s="75"/>
    </row>
    <row r="818" ht="15.75" customHeight="1">
      <c r="G818" s="75"/>
    </row>
    <row r="819" ht="15.75" customHeight="1">
      <c r="G819" s="75"/>
    </row>
    <row r="820" ht="15.75" customHeight="1">
      <c r="G820" s="75"/>
    </row>
    <row r="821" ht="15.75" customHeight="1">
      <c r="G821" s="75"/>
    </row>
    <row r="822" ht="15.75" customHeight="1">
      <c r="G822" s="75"/>
    </row>
    <row r="823" ht="15.75" customHeight="1">
      <c r="G823" s="75"/>
    </row>
    <row r="824" ht="15.75" customHeight="1">
      <c r="G824" s="75"/>
    </row>
    <row r="825" ht="15.75" customHeight="1">
      <c r="G825" s="75"/>
    </row>
    <row r="826" ht="15.75" customHeight="1">
      <c r="G826" s="75"/>
    </row>
    <row r="827" ht="15.75" customHeight="1">
      <c r="G827" s="75"/>
    </row>
    <row r="828" ht="15.75" customHeight="1">
      <c r="G828" s="75"/>
    </row>
    <row r="829" ht="15.75" customHeight="1">
      <c r="G829" s="75"/>
    </row>
    <row r="830" ht="15.75" customHeight="1">
      <c r="G830" s="75"/>
    </row>
    <row r="831" ht="15.75" customHeight="1">
      <c r="G831" s="75"/>
    </row>
    <row r="832" ht="15.75" customHeight="1">
      <c r="G832" s="75"/>
    </row>
    <row r="833" ht="15.75" customHeight="1">
      <c r="G833" s="75"/>
    </row>
    <row r="834" ht="15.75" customHeight="1">
      <c r="G834" s="75"/>
    </row>
    <row r="835" ht="15.75" customHeight="1">
      <c r="G835" s="75"/>
    </row>
    <row r="836" ht="15.75" customHeight="1">
      <c r="G836" s="75"/>
    </row>
    <row r="837" ht="15.75" customHeight="1">
      <c r="G837" s="75"/>
    </row>
    <row r="838" ht="15.75" customHeight="1">
      <c r="G838" s="75"/>
    </row>
    <row r="839" ht="15.75" customHeight="1">
      <c r="G839" s="75"/>
    </row>
    <row r="840" ht="15.75" customHeight="1">
      <c r="G840" s="75"/>
    </row>
    <row r="841" ht="15.75" customHeight="1">
      <c r="G841" s="75"/>
    </row>
    <row r="842" ht="15.75" customHeight="1">
      <c r="G842" s="75"/>
    </row>
    <row r="843" ht="15.75" customHeight="1">
      <c r="G843" s="75"/>
    </row>
    <row r="844" ht="15.75" customHeight="1">
      <c r="G844" s="75"/>
    </row>
    <row r="845" ht="15.75" customHeight="1">
      <c r="G845" s="75"/>
    </row>
    <row r="846" ht="15.75" customHeight="1">
      <c r="G846" s="75"/>
    </row>
    <row r="847" ht="15.75" customHeight="1">
      <c r="G847" s="75"/>
    </row>
    <row r="848" ht="15.75" customHeight="1">
      <c r="G848" s="75"/>
    </row>
    <row r="849" ht="15.75" customHeight="1">
      <c r="G849" s="75"/>
    </row>
    <row r="850" ht="15.75" customHeight="1">
      <c r="G850" s="75"/>
    </row>
    <row r="851" ht="15.75" customHeight="1">
      <c r="G851" s="75"/>
    </row>
    <row r="852" ht="15.75" customHeight="1">
      <c r="G852" s="75"/>
    </row>
    <row r="853" ht="15.75" customHeight="1">
      <c r="G853" s="75"/>
    </row>
    <row r="854" ht="15.75" customHeight="1">
      <c r="G854" s="75"/>
    </row>
    <row r="855" ht="15.75" customHeight="1">
      <c r="G855" s="75"/>
    </row>
    <row r="856" ht="15.75" customHeight="1">
      <c r="G856" s="75"/>
    </row>
    <row r="857" ht="15.75" customHeight="1">
      <c r="G857" s="75"/>
    </row>
    <row r="858" ht="15.75" customHeight="1">
      <c r="G858" s="75"/>
    </row>
    <row r="859" ht="15.75" customHeight="1">
      <c r="G859" s="75"/>
    </row>
    <row r="860" ht="15.75" customHeight="1">
      <c r="G860" s="75"/>
    </row>
    <row r="861" ht="15.75" customHeight="1">
      <c r="G861" s="75"/>
    </row>
    <row r="862" ht="15.75" customHeight="1">
      <c r="G862" s="75"/>
    </row>
    <row r="863" ht="15.75" customHeight="1">
      <c r="G863" s="75"/>
    </row>
    <row r="864" ht="15.75" customHeight="1">
      <c r="G864" s="75"/>
    </row>
    <row r="865" ht="15.75" customHeight="1">
      <c r="G865" s="75"/>
    </row>
    <row r="866" ht="15.75" customHeight="1">
      <c r="G866" s="75"/>
    </row>
    <row r="867" ht="15.75" customHeight="1">
      <c r="G867" s="75"/>
    </row>
    <row r="868" ht="15.75" customHeight="1">
      <c r="G868" s="75"/>
    </row>
    <row r="869" ht="15.75" customHeight="1">
      <c r="G869" s="75"/>
    </row>
    <row r="870" ht="15.75" customHeight="1">
      <c r="G870" s="75"/>
    </row>
    <row r="871" ht="15.75" customHeight="1">
      <c r="G871" s="75"/>
    </row>
    <row r="872" ht="15.75" customHeight="1">
      <c r="G872" s="75"/>
    </row>
    <row r="873" ht="15.75" customHeight="1">
      <c r="G873" s="75"/>
    </row>
    <row r="874" ht="15.75" customHeight="1">
      <c r="G874" s="75"/>
    </row>
    <row r="875" ht="15.75" customHeight="1">
      <c r="G875" s="75"/>
    </row>
    <row r="876" ht="15.75" customHeight="1">
      <c r="G876" s="75"/>
    </row>
    <row r="877" ht="15.75" customHeight="1">
      <c r="G877" s="75"/>
    </row>
    <row r="878" ht="15.75" customHeight="1">
      <c r="G878" s="75"/>
    </row>
    <row r="879" ht="15.75" customHeight="1">
      <c r="G879" s="75"/>
    </row>
    <row r="880" ht="15.75" customHeight="1">
      <c r="G880" s="75"/>
    </row>
    <row r="881" ht="15.75" customHeight="1">
      <c r="G881" s="75"/>
    </row>
    <row r="882" ht="15.75" customHeight="1">
      <c r="G882" s="75"/>
    </row>
    <row r="883" ht="15.75" customHeight="1">
      <c r="G883" s="75"/>
    </row>
    <row r="884" ht="15.75" customHeight="1">
      <c r="G884" s="75"/>
    </row>
    <row r="885" ht="15.75" customHeight="1">
      <c r="G885" s="75"/>
    </row>
    <row r="886" ht="15.75" customHeight="1">
      <c r="G886" s="75"/>
    </row>
    <row r="887" ht="15.75" customHeight="1">
      <c r="G887" s="75"/>
    </row>
    <row r="888" ht="15.75" customHeight="1">
      <c r="G888" s="75"/>
    </row>
    <row r="889" ht="15.75" customHeight="1">
      <c r="G889" s="75"/>
    </row>
    <row r="890" ht="15.75" customHeight="1">
      <c r="G890" s="75"/>
    </row>
    <row r="891" ht="15.75" customHeight="1">
      <c r="G891" s="75"/>
    </row>
    <row r="892" ht="15.75" customHeight="1">
      <c r="G892" s="75"/>
    </row>
    <row r="893" ht="15.75" customHeight="1">
      <c r="G893" s="75"/>
    </row>
    <row r="894" ht="15.75" customHeight="1">
      <c r="G894" s="75"/>
    </row>
    <row r="895" ht="15.75" customHeight="1">
      <c r="G895" s="75"/>
    </row>
    <row r="896" ht="15.75" customHeight="1">
      <c r="G896" s="75"/>
    </row>
    <row r="897" ht="15.75" customHeight="1">
      <c r="G897" s="75"/>
    </row>
    <row r="898" ht="15.75" customHeight="1">
      <c r="G898" s="75"/>
    </row>
    <row r="899" ht="15.75" customHeight="1">
      <c r="G899" s="75"/>
    </row>
    <row r="900" ht="15.75" customHeight="1">
      <c r="G900" s="75"/>
    </row>
    <row r="901" ht="15.75" customHeight="1">
      <c r="G901" s="75"/>
    </row>
    <row r="902" ht="15.75" customHeight="1">
      <c r="G902" s="75"/>
    </row>
    <row r="903" ht="15.75" customHeight="1">
      <c r="G903" s="75"/>
    </row>
    <row r="904" ht="15.75" customHeight="1">
      <c r="G904" s="75"/>
    </row>
    <row r="905" ht="15.75" customHeight="1">
      <c r="G905" s="75"/>
    </row>
    <row r="906" ht="15.75" customHeight="1">
      <c r="G906" s="75"/>
    </row>
    <row r="907" ht="15.75" customHeight="1">
      <c r="G907" s="75"/>
    </row>
    <row r="908" ht="15.75" customHeight="1">
      <c r="G908" s="75"/>
    </row>
    <row r="909" ht="15.75" customHeight="1">
      <c r="G909" s="75"/>
    </row>
    <row r="910" ht="15.75" customHeight="1">
      <c r="G910" s="75"/>
    </row>
    <row r="911" ht="15.75" customHeight="1">
      <c r="G911" s="75"/>
    </row>
    <row r="912" ht="15.75" customHeight="1">
      <c r="G912" s="75"/>
    </row>
    <row r="913" ht="15.75" customHeight="1">
      <c r="G913" s="75"/>
    </row>
    <row r="914" ht="15.75" customHeight="1">
      <c r="G914" s="75"/>
    </row>
    <row r="915" ht="15.75" customHeight="1">
      <c r="G915" s="75"/>
    </row>
    <row r="916" ht="15.75" customHeight="1">
      <c r="G916" s="75"/>
    </row>
    <row r="917" ht="15.75" customHeight="1">
      <c r="G917" s="75"/>
    </row>
    <row r="918" ht="15.75" customHeight="1">
      <c r="G918" s="75"/>
    </row>
    <row r="919" ht="15.75" customHeight="1">
      <c r="G919" s="75"/>
    </row>
    <row r="920" ht="15.75" customHeight="1">
      <c r="G920" s="75"/>
    </row>
    <row r="921" ht="15.75" customHeight="1">
      <c r="G921" s="75"/>
    </row>
    <row r="922" ht="15.75" customHeight="1">
      <c r="G922" s="75"/>
    </row>
    <row r="923" ht="15.75" customHeight="1">
      <c r="G923" s="75"/>
    </row>
    <row r="924" ht="15.75" customHeight="1">
      <c r="G924" s="75"/>
    </row>
    <row r="925" ht="15.75" customHeight="1">
      <c r="G925" s="75"/>
    </row>
    <row r="926" ht="15.75" customHeight="1">
      <c r="G926" s="75"/>
    </row>
    <row r="927" ht="15.75" customHeight="1">
      <c r="G927" s="75"/>
    </row>
    <row r="928" ht="15.75" customHeight="1">
      <c r="G928" s="75"/>
    </row>
    <row r="929" ht="15.75" customHeight="1">
      <c r="G929" s="75"/>
    </row>
    <row r="930" ht="15.75" customHeight="1">
      <c r="G930" s="75"/>
    </row>
    <row r="931" ht="15.75" customHeight="1">
      <c r="G931" s="75"/>
    </row>
    <row r="932" ht="15.75" customHeight="1">
      <c r="G932" s="75"/>
    </row>
    <row r="933" ht="15.75" customHeight="1">
      <c r="G933" s="75"/>
    </row>
    <row r="934" ht="15.75" customHeight="1">
      <c r="G934" s="75"/>
    </row>
    <row r="935" ht="15.75" customHeight="1">
      <c r="G935" s="75"/>
    </row>
    <row r="936" ht="15.75" customHeight="1">
      <c r="G936" s="75"/>
    </row>
    <row r="937" ht="15.75" customHeight="1">
      <c r="G937" s="75"/>
    </row>
    <row r="938" ht="15.75" customHeight="1">
      <c r="G938" s="75"/>
    </row>
    <row r="939" ht="15.75" customHeight="1">
      <c r="G939" s="75"/>
    </row>
    <row r="940" ht="15.75" customHeight="1">
      <c r="G940" s="75"/>
    </row>
    <row r="941" ht="15.75" customHeight="1">
      <c r="G941" s="75"/>
    </row>
    <row r="942" ht="15.75" customHeight="1">
      <c r="G942" s="75"/>
    </row>
    <row r="943" ht="15.75" customHeight="1">
      <c r="G943" s="75"/>
    </row>
    <row r="944" ht="15.75" customHeight="1">
      <c r="G944" s="75"/>
    </row>
    <row r="945" ht="15.75" customHeight="1">
      <c r="G945" s="75"/>
    </row>
    <row r="946" ht="15.75" customHeight="1">
      <c r="G946" s="75"/>
    </row>
    <row r="947" ht="15.75" customHeight="1">
      <c r="G947" s="75"/>
    </row>
    <row r="948" ht="15.75" customHeight="1">
      <c r="G948" s="75"/>
    </row>
    <row r="949" ht="15.75" customHeight="1">
      <c r="G949" s="75"/>
    </row>
    <row r="950" ht="15.75" customHeight="1">
      <c r="G950" s="75"/>
    </row>
    <row r="951" ht="15.75" customHeight="1">
      <c r="G951" s="75"/>
    </row>
    <row r="952" ht="15.75" customHeight="1">
      <c r="G952" s="75"/>
    </row>
    <row r="953" ht="15.75" customHeight="1">
      <c r="G953" s="75"/>
    </row>
    <row r="954" ht="15.75" customHeight="1">
      <c r="G954" s="75"/>
    </row>
    <row r="955" ht="15.75" customHeight="1">
      <c r="G955" s="75"/>
    </row>
    <row r="956" ht="15.75" customHeight="1">
      <c r="G956" s="75"/>
    </row>
    <row r="957" ht="15.75" customHeight="1">
      <c r="G957" s="75"/>
    </row>
    <row r="958" ht="15.75" customHeight="1">
      <c r="G958" s="75"/>
    </row>
    <row r="959" ht="15.75" customHeight="1">
      <c r="G959" s="75"/>
    </row>
    <row r="960" ht="15.75" customHeight="1">
      <c r="G960" s="75"/>
    </row>
    <row r="961" ht="15.75" customHeight="1">
      <c r="G961" s="75"/>
    </row>
    <row r="962" ht="15.75" customHeight="1">
      <c r="G962" s="75"/>
    </row>
    <row r="963" ht="15.75" customHeight="1">
      <c r="G963" s="75"/>
    </row>
    <row r="964" ht="15.75" customHeight="1">
      <c r="G964" s="75"/>
    </row>
    <row r="965" ht="15.75" customHeight="1">
      <c r="G965" s="75"/>
    </row>
    <row r="966" ht="15.75" customHeight="1">
      <c r="G966" s="75"/>
    </row>
    <row r="967" ht="15.75" customHeight="1">
      <c r="G967" s="75"/>
    </row>
    <row r="968" ht="15.75" customHeight="1">
      <c r="G968" s="75"/>
    </row>
    <row r="969" ht="15.75" customHeight="1">
      <c r="G969" s="75"/>
    </row>
    <row r="970" ht="15.75" customHeight="1">
      <c r="G970" s="75"/>
    </row>
    <row r="971" ht="15.75" customHeight="1">
      <c r="G971" s="75"/>
    </row>
    <row r="972" ht="15.75" customHeight="1">
      <c r="G972" s="75"/>
    </row>
    <row r="973" ht="15.75" customHeight="1">
      <c r="G973" s="75"/>
    </row>
    <row r="974" ht="15.75" customHeight="1">
      <c r="G974" s="75"/>
    </row>
    <row r="975" ht="15.75" customHeight="1">
      <c r="G975" s="75"/>
    </row>
    <row r="976" ht="15.75" customHeight="1">
      <c r="G976" s="75"/>
    </row>
    <row r="977" ht="15.75" customHeight="1">
      <c r="G977" s="75"/>
    </row>
    <row r="978" ht="15.75" customHeight="1">
      <c r="G978" s="75"/>
    </row>
    <row r="979" ht="15.75" customHeight="1">
      <c r="G979" s="75"/>
    </row>
    <row r="980" ht="15.75" customHeight="1">
      <c r="G980" s="75"/>
    </row>
    <row r="981" ht="15.75" customHeight="1">
      <c r="G981" s="75"/>
    </row>
    <row r="982" ht="15.75" customHeight="1">
      <c r="G982" s="75"/>
    </row>
    <row r="983" ht="15.75" customHeight="1">
      <c r="G983" s="75"/>
    </row>
    <row r="984" ht="15.75" customHeight="1">
      <c r="G984" s="75"/>
    </row>
    <row r="985" ht="15.75" customHeight="1">
      <c r="G985" s="75"/>
    </row>
    <row r="986" ht="15.75" customHeight="1">
      <c r="G986" s="75"/>
    </row>
    <row r="987" ht="15.75" customHeight="1">
      <c r="G987" s="75"/>
    </row>
    <row r="988" ht="15.75" customHeight="1">
      <c r="G988" s="75"/>
    </row>
    <row r="989" ht="15.75" customHeight="1">
      <c r="G989" s="75"/>
    </row>
    <row r="990" ht="15.75" customHeight="1">
      <c r="G990" s="75"/>
    </row>
    <row r="991" ht="15.75" customHeight="1">
      <c r="G991" s="75"/>
    </row>
    <row r="992" ht="15.75" customHeight="1">
      <c r="G992" s="75"/>
    </row>
    <row r="993" ht="15.75" customHeight="1">
      <c r="G993" s="75"/>
    </row>
    <row r="994" ht="15.75" customHeight="1">
      <c r="G994" s="75"/>
    </row>
    <row r="995" ht="15.75" customHeight="1">
      <c r="G995" s="75"/>
    </row>
    <row r="996" ht="15.75" customHeight="1">
      <c r="G996" s="75"/>
    </row>
    <row r="997" ht="15.75" customHeight="1">
      <c r="G997" s="75"/>
    </row>
    <row r="998" ht="15.75" customHeight="1">
      <c r="G998" s="75"/>
    </row>
    <row r="999" ht="15.75" customHeight="1">
      <c r="G999" s="75"/>
    </row>
    <row r="1000" ht="15.75" customHeight="1">
      <c r="G1000" s="75"/>
    </row>
    <row r="1001" ht="15.75" customHeight="1">
      <c r="G1001" s="75"/>
    </row>
  </sheetData>
  <mergeCells count="6">
    <mergeCell ref="U1:X1"/>
    <mergeCell ref="AC2:AD2"/>
    <mergeCell ref="AE2:AF2"/>
    <mergeCell ref="AG2:AH2"/>
    <mergeCell ref="AI2:AJ2"/>
    <mergeCell ref="A28:J2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7.63"/>
    <col customWidth="1" min="2" max="2" width="39.63"/>
    <col customWidth="1" min="3" max="3" width="15.13"/>
    <col customWidth="1" min="4" max="4" width="8.38"/>
    <col customWidth="1" min="5" max="6" width="7.13"/>
    <col customWidth="1" min="7" max="8" width="8.25"/>
    <col customWidth="1" min="9" max="9" width="7.0"/>
    <col customWidth="1" min="10" max="10" width="6.25"/>
    <col customWidth="1" min="11" max="11" width="7.88"/>
    <col customWidth="1" min="12" max="12" width="10.13"/>
    <col customWidth="1" min="13" max="13" width="8.25"/>
    <col customWidth="1" min="14" max="14" width="8.75"/>
  </cols>
  <sheetData>
    <row r="1" ht="12.75" customHeight="1">
      <c r="A1" s="74"/>
      <c r="H1" s="75"/>
      <c r="L1" s="263" t="s">
        <v>181</v>
      </c>
      <c r="M1" s="264"/>
      <c r="N1" s="246"/>
    </row>
    <row r="2" ht="79.5" customHeight="1">
      <c r="A2" s="74" t="s">
        <v>119</v>
      </c>
      <c r="B2" s="81" t="s">
        <v>0</v>
      </c>
      <c r="C2" s="265" t="s">
        <v>182</v>
      </c>
      <c r="D2" s="83" t="s">
        <v>120</v>
      </c>
      <c r="E2" s="266" t="s">
        <v>183</v>
      </c>
      <c r="F2" s="84" t="s">
        <v>121</v>
      </c>
      <c r="G2" s="82" t="s">
        <v>122</v>
      </c>
      <c r="H2" s="82" t="s">
        <v>123</v>
      </c>
      <c r="I2" s="85" t="s">
        <v>124</v>
      </c>
      <c r="J2" s="86" t="s">
        <v>125</v>
      </c>
      <c r="K2" s="86" t="s">
        <v>126</v>
      </c>
      <c r="L2" s="92" t="s">
        <v>131</v>
      </c>
      <c r="M2" s="92" t="s">
        <v>2</v>
      </c>
      <c r="N2" s="267"/>
    </row>
    <row r="3" ht="12.75" customHeight="1">
      <c r="A3" s="100"/>
      <c r="C3" s="49"/>
      <c r="D3" s="49"/>
      <c r="E3" s="49"/>
      <c r="F3" s="49"/>
      <c r="G3" s="101"/>
      <c r="H3" s="49"/>
      <c r="I3" s="102"/>
      <c r="J3" s="103"/>
      <c r="K3" s="103"/>
      <c r="L3" s="107"/>
      <c r="M3" s="107"/>
      <c r="N3" s="243"/>
    </row>
    <row r="4" ht="22.5" customHeight="1">
      <c r="A4" s="60" t="s">
        <v>135</v>
      </c>
      <c r="B4" s="112" t="s">
        <v>15</v>
      </c>
      <c r="C4" s="268" t="s">
        <v>184</v>
      </c>
      <c r="D4" s="113">
        <v>6.0</v>
      </c>
      <c r="E4" s="14"/>
      <c r="F4" s="14"/>
      <c r="G4" s="249">
        <v>96.0</v>
      </c>
      <c r="H4" s="115"/>
      <c r="I4" s="116">
        <f t="shared" ref="I4:I38" si="1">G4*D4</f>
        <v>576</v>
      </c>
      <c r="J4" s="117">
        <f t="shared" ref="J4:J38" si="2">I4/720</f>
        <v>0.8</v>
      </c>
      <c r="K4" s="117">
        <f t="shared" ref="K4:K38" si="3">J4</f>
        <v>0.8</v>
      </c>
      <c r="L4" s="120">
        <f t="shared" ref="L4:L38" si="4">J4*M4</f>
        <v>155520</v>
      </c>
      <c r="M4" s="269">
        <v>194400.0</v>
      </c>
      <c r="N4" s="270"/>
    </row>
    <row r="5" ht="21.75" customHeight="1">
      <c r="A5" s="60" t="s">
        <v>136</v>
      </c>
      <c r="B5" s="250" t="s">
        <v>25</v>
      </c>
      <c r="C5" s="268" t="s">
        <v>184</v>
      </c>
      <c r="D5" s="160">
        <v>6.0</v>
      </c>
      <c r="E5" s="161"/>
      <c r="F5" s="161"/>
      <c r="G5" s="249">
        <v>96.0</v>
      </c>
      <c r="H5" s="115"/>
      <c r="I5" s="116">
        <f t="shared" si="1"/>
        <v>576</v>
      </c>
      <c r="J5" s="117">
        <f t="shared" si="2"/>
        <v>0.8</v>
      </c>
      <c r="K5" s="117">
        <f t="shared" si="3"/>
        <v>0.8</v>
      </c>
      <c r="L5" s="120">
        <f t="shared" si="4"/>
        <v>155520</v>
      </c>
      <c r="M5" s="269">
        <v>194400.0</v>
      </c>
      <c r="N5" s="270"/>
    </row>
    <row r="6" ht="20.25" customHeight="1">
      <c r="A6" s="60" t="s">
        <v>137</v>
      </c>
      <c r="B6" s="251" t="s">
        <v>22</v>
      </c>
      <c r="C6" s="268" t="s">
        <v>184</v>
      </c>
      <c r="D6" s="113">
        <v>6.0</v>
      </c>
      <c r="E6" s="161"/>
      <c r="F6" s="161"/>
      <c r="G6" s="114">
        <v>96.0</v>
      </c>
      <c r="H6" s="115"/>
      <c r="I6" s="116">
        <f t="shared" si="1"/>
        <v>576</v>
      </c>
      <c r="J6" s="117">
        <f t="shared" si="2"/>
        <v>0.8</v>
      </c>
      <c r="K6" s="117">
        <f t="shared" si="3"/>
        <v>0.8</v>
      </c>
      <c r="L6" s="120">
        <f t="shared" si="4"/>
        <v>155520</v>
      </c>
      <c r="M6" s="269">
        <v>194400.0</v>
      </c>
      <c r="N6" s="270"/>
    </row>
    <row r="7" ht="20.25" customHeight="1">
      <c r="A7" s="60" t="s">
        <v>138</v>
      </c>
      <c r="B7" s="158" t="s">
        <v>27</v>
      </c>
      <c r="C7" s="268" t="s">
        <v>184</v>
      </c>
      <c r="D7" s="160">
        <v>6.0</v>
      </c>
      <c r="E7" s="161"/>
      <c r="F7" s="161"/>
      <c r="G7" s="114">
        <v>96.0</v>
      </c>
      <c r="H7" s="115"/>
      <c r="I7" s="116">
        <f t="shared" si="1"/>
        <v>576</v>
      </c>
      <c r="J7" s="117">
        <f t="shared" si="2"/>
        <v>0.8</v>
      </c>
      <c r="K7" s="117">
        <f t="shared" si="3"/>
        <v>0.8</v>
      </c>
      <c r="L7" s="120">
        <f t="shared" si="4"/>
        <v>155520</v>
      </c>
      <c r="M7" s="269">
        <v>194400.0</v>
      </c>
      <c r="N7" s="270"/>
    </row>
    <row r="8" ht="21.0" customHeight="1">
      <c r="A8" s="60" t="s">
        <v>139</v>
      </c>
      <c r="B8" s="158" t="s">
        <v>80</v>
      </c>
      <c r="C8" s="268" t="s">
        <v>184</v>
      </c>
      <c r="D8" s="113">
        <v>6.0</v>
      </c>
      <c r="E8" s="161"/>
      <c r="F8" s="161"/>
      <c r="G8" s="249">
        <v>72.0</v>
      </c>
      <c r="H8" s="115"/>
      <c r="I8" s="116">
        <f t="shared" si="1"/>
        <v>432</v>
      </c>
      <c r="J8" s="117">
        <f t="shared" si="2"/>
        <v>0.6</v>
      </c>
      <c r="K8" s="117">
        <f t="shared" si="3"/>
        <v>0.6</v>
      </c>
      <c r="L8" s="120">
        <f t="shared" si="4"/>
        <v>116640</v>
      </c>
      <c r="M8" s="269">
        <v>194400.0</v>
      </c>
      <c r="N8" s="270"/>
    </row>
    <row r="9" ht="20.25" customHeight="1">
      <c r="A9" s="60" t="s">
        <v>140</v>
      </c>
      <c r="B9" s="158" t="s">
        <v>30</v>
      </c>
      <c r="C9" s="268" t="s">
        <v>184</v>
      </c>
      <c r="D9" s="160">
        <v>6.0</v>
      </c>
      <c r="E9" s="161"/>
      <c r="F9" s="161"/>
      <c r="G9" s="249">
        <v>120.0</v>
      </c>
      <c r="H9" s="115"/>
      <c r="I9" s="116">
        <f t="shared" si="1"/>
        <v>720</v>
      </c>
      <c r="J9" s="117">
        <f t="shared" si="2"/>
        <v>1</v>
      </c>
      <c r="K9" s="117">
        <f t="shared" si="3"/>
        <v>1</v>
      </c>
      <c r="L9" s="120">
        <f t="shared" si="4"/>
        <v>194400</v>
      </c>
      <c r="M9" s="269">
        <v>194400.0</v>
      </c>
      <c r="N9" s="270"/>
    </row>
    <row r="10" ht="21.75" customHeight="1">
      <c r="A10" s="60" t="s">
        <v>141</v>
      </c>
      <c r="B10" s="158" t="s">
        <v>46</v>
      </c>
      <c r="C10" s="268" t="s">
        <v>184</v>
      </c>
      <c r="D10" s="113">
        <v>6.0</v>
      </c>
      <c r="E10" s="161"/>
      <c r="F10" s="161"/>
      <c r="G10" s="114">
        <v>72.0</v>
      </c>
      <c r="H10" s="115"/>
      <c r="I10" s="116">
        <f t="shared" si="1"/>
        <v>432</v>
      </c>
      <c r="J10" s="117">
        <f t="shared" si="2"/>
        <v>0.6</v>
      </c>
      <c r="K10" s="117">
        <f t="shared" si="3"/>
        <v>0.6</v>
      </c>
      <c r="L10" s="120">
        <f t="shared" si="4"/>
        <v>116640</v>
      </c>
      <c r="M10" s="269">
        <v>194400.0</v>
      </c>
      <c r="N10" s="270"/>
    </row>
    <row r="11" ht="24.0" customHeight="1">
      <c r="A11" s="60" t="s">
        <v>142</v>
      </c>
      <c r="B11" s="271" t="s">
        <v>185</v>
      </c>
      <c r="C11" s="268" t="s">
        <v>184</v>
      </c>
      <c r="D11" s="160">
        <v>3.0</v>
      </c>
      <c r="E11" s="14"/>
      <c r="F11" s="14"/>
      <c r="G11" s="114">
        <v>96.0</v>
      </c>
      <c r="H11" s="115"/>
      <c r="I11" s="116">
        <f t="shared" si="1"/>
        <v>288</v>
      </c>
      <c r="J11" s="117">
        <f t="shared" si="2"/>
        <v>0.4</v>
      </c>
      <c r="K11" s="117">
        <f t="shared" si="3"/>
        <v>0.4</v>
      </c>
      <c r="L11" s="120">
        <f t="shared" si="4"/>
        <v>115200</v>
      </c>
      <c r="M11" s="269">
        <v>288000.0</v>
      </c>
      <c r="N11" s="270"/>
    </row>
    <row r="12" ht="21.75" customHeight="1">
      <c r="A12" s="60" t="s">
        <v>143</v>
      </c>
      <c r="B12" s="135" t="s">
        <v>81</v>
      </c>
      <c r="C12" s="268" t="s">
        <v>184</v>
      </c>
      <c r="D12" s="113">
        <v>3.0</v>
      </c>
      <c r="E12" s="14"/>
      <c r="F12" s="14"/>
      <c r="G12" s="114">
        <v>120.0</v>
      </c>
      <c r="H12" s="115"/>
      <c r="I12" s="116">
        <f t="shared" si="1"/>
        <v>360</v>
      </c>
      <c r="J12" s="117">
        <f t="shared" si="2"/>
        <v>0.5</v>
      </c>
      <c r="K12" s="117">
        <f t="shared" si="3"/>
        <v>0.5</v>
      </c>
      <c r="L12" s="120">
        <f t="shared" si="4"/>
        <v>144000</v>
      </c>
      <c r="M12" s="269">
        <v>288000.0</v>
      </c>
      <c r="N12" s="270"/>
    </row>
    <row r="13" ht="21.75" customHeight="1">
      <c r="A13" s="60" t="s">
        <v>144</v>
      </c>
      <c r="B13" s="158" t="s">
        <v>34</v>
      </c>
      <c r="C13" s="268" t="s">
        <v>184</v>
      </c>
      <c r="D13" s="160">
        <v>6.0</v>
      </c>
      <c r="E13" s="161"/>
      <c r="F13" s="161"/>
      <c r="G13" s="249">
        <v>96.0</v>
      </c>
      <c r="H13" s="115"/>
      <c r="I13" s="116">
        <f t="shared" si="1"/>
        <v>576</v>
      </c>
      <c r="J13" s="117">
        <f t="shared" si="2"/>
        <v>0.8</v>
      </c>
      <c r="K13" s="117">
        <f t="shared" si="3"/>
        <v>0.8</v>
      </c>
      <c r="L13" s="120">
        <f t="shared" si="4"/>
        <v>155520</v>
      </c>
      <c r="M13" s="269">
        <v>194400.0</v>
      </c>
      <c r="N13" s="270"/>
    </row>
    <row r="14" ht="24.0" customHeight="1">
      <c r="A14" s="60" t="s">
        <v>145</v>
      </c>
      <c r="B14" s="158" t="s">
        <v>38</v>
      </c>
      <c r="C14" s="268" t="s">
        <v>184</v>
      </c>
      <c r="D14" s="113">
        <v>3.0</v>
      </c>
      <c r="E14" s="161"/>
      <c r="F14" s="161"/>
      <c r="G14" s="114">
        <v>96.0</v>
      </c>
      <c r="H14" s="115"/>
      <c r="I14" s="116">
        <f t="shared" si="1"/>
        <v>288</v>
      </c>
      <c r="J14" s="117">
        <f t="shared" si="2"/>
        <v>0.4</v>
      </c>
      <c r="K14" s="117">
        <f t="shared" si="3"/>
        <v>0.4</v>
      </c>
      <c r="L14" s="120">
        <f t="shared" si="4"/>
        <v>115200</v>
      </c>
      <c r="M14" s="269">
        <v>288000.0</v>
      </c>
      <c r="N14" s="270"/>
    </row>
    <row r="15" ht="25.5" customHeight="1">
      <c r="A15" s="60" t="s">
        <v>146</v>
      </c>
      <c r="B15" s="158" t="s">
        <v>82</v>
      </c>
      <c r="C15" s="268" t="s">
        <v>186</v>
      </c>
      <c r="D15" s="160">
        <v>2.0</v>
      </c>
      <c r="E15" s="161"/>
      <c r="F15" s="161"/>
      <c r="G15" s="249">
        <v>72.0</v>
      </c>
      <c r="H15" s="115"/>
      <c r="I15" s="116">
        <f t="shared" si="1"/>
        <v>144</v>
      </c>
      <c r="J15" s="117">
        <f t="shared" si="2"/>
        <v>0.2</v>
      </c>
      <c r="K15" s="117">
        <f t="shared" si="3"/>
        <v>0.2</v>
      </c>
      <c r="L15" s="120">
        <f t="shared" si="4"/>
        <v>57600</v>
      </c>
      <c r="M15" s="269">
        <v>288000.0</v>
      </c>
      <c r="N15" s="270"/>
    </row>
    <row r="16" ht="21.0" customHeight="1">
      <c r="A16" s="60" t="s">
        <v>147</v>
      </c>
      <c r="B16" s="158" t="s">
        <v>83</v>
      </c>
      <c r="C16" s="268" t="s">
        <v>184</v>
      </c>
      <c r="D16" s="160">
        <v>3.0</v>
      </c>
      <c r="E16" s="161"/>
      <c r="F16" s="161"/>
      <c r="G16" s="114">
        <v>72.0</v>
      </c>
      <c r="H16" s="115"/>
      <c r="I16" s="116">
        <f t="shared" si="1"/>
        <v>216</v>
      </c>
      <c r="J16" s="117">
        <f t="shared" si="2"/>
        <v>0.3</v>
      </c>
      <c r="K16" s="117">
        <f t="shared" si="3"/>
        <v>0.3</v>
      </c>
      <c r="L16" s="120">
        <f t="shared" si="4"/>
        <v>86400</v>
      </c>
      <c r="M16" s="269">
        <v>288000.0</v>
      </c>
      <c r="N16" s="270"/>
    </row>
    <row r="17" ht="21.0" customHeight="1">
      <c r="A17" s="60" t="s">
        <v>148</v>
      </c>
      <c r="B17" s="158" t="s">
        <v>84</v>
      </c>
      <c r="C17" s="268" t="s">
        <v>184</v>
      </c>
      <c r="D17" s="160">
        <v>3.0</v>
      </c>
      <c r="E17" s="161"/>
      <c r="F17" s="161"/>
      <c r="G17" s="114">
        <v>72.0</v>
      </c>
      <c r="H17" s="115"/>
      <c r="I17" s="116">
        <f t="shared" si="1"/>
        <v>216</v>
      </c>
      <c r="J17" s="117">
        <f t="shared" si="2"/>
        <v>0.3</v>
      </c>
      <c r="K17" s="117">
        <f t="shared" si="3"/>
        <v>0.3</v>
      </c>
      <c r="L17" s="120">
        <f t="shared" si="4"/>
        <v>86400</v>
      </c>
      <c r="M17" s="269">
        <v>288000.0</v>
      </c>
      <c r="N17" s="270"/>
    </row>
    <row r="18" ht="21.75" customHeight="1">
      <c r="A18" s="60" t="s">
        <v>149</v>
      </c>
      <c r="B18" s="163" t="s">
        <v>85</v>
      </c>
      <c r="C18" s="268" t="s">
        <v>184</v>
      </c>
      <c r="D18" s="160">
        <v>6.0</v>
      </c>
      <c r="E18" s="161"/>
      <c r="F18" s="161"/>
      <c r="G18" s="114">
        <v>24.0</v>
      </c>
      <c r="H18" s="115"/>
      <c r="I18" s="116">
        <f t="shared" si="1"/>
        <v>144</v>
      </c>
      <c r="J18" s="117">
        <f t="shared" si="2"/>
        <v>0.2</v>
      </c>
      <c r="K18" s="117">
        <f t="shared" si="3"/>
        <v>0.2</v>
      </c>
      <c r="L18" s="120">
        <f t="shared" si="4"/>
        <v>38880</v>
      </c>
      <c r="M18" s="269">
        <v>194400.0</v>
      </c>
      <c r="N18" s="270"/>
    </row>
    <row r="19" ht="21.75" customHeight="1">
      <c r="A19" s="60" t="s">
        <v>150</v>
      </c>
      <c r="B19" s="164" t="s">
        <v>86</v>
      </c>
      <c r="C19" s="268" t="s">
        <v>184</v>
      </c>
      <c r="D19" s="160">
        <v>6.0</v>
      </c>
      <c r="E19" s="161"/>
      <c r="F19" s="161"/>
      <c r="G19" s="114">
        <v>72.0</v>
      </c>
      <c r="H19" s="115"/>
      <c r="I19" s="116">
        <f t="shared" si="1"/>
        <v>432</v>
      </c>
      <c r="J19" s="117">
        <f t="shared" si="2"/>
        <v>0.6</v>
      </c>
      <c r="K19" s="117">
        <f t="shared" si="3"/>
        <v>0.6</v>
      </c>
      <c r="L19" s="120">
        <f t="shared" si="4"/>
        <v>116640</v>
      </c>
      <c r="M19" s="269">
        <v>194400.0</v>
      </c>
      <c r="N19" s="270"/>
    </row>
    <row r="20" ht="25.5" customHeight="1">
      <c r="A20" s="60" t="s">
        <v>146</v>
      </c>
      <c r="B20" s="272" t="s">
        <v>187</v>
      </c>
      <c r="C20" s="268" t="s">
        <v>188</v>
      </c>
      <c r="D20" s="160">
        <v>1.0</v>
      </c>
      <c r="E20" s="161"/>
      <c r="F20" s="161"/>
      <c r="G20" s="249">
        <v>96.0</v>
      </c>
      <c r="H20" s="115"/>
      <c r="I20" s="116">
        <f t="shared" si="1"/>
        <v>96</v>
      </c>
      <c r="J20" s="117">
        <f t="shared" si="2"/>
        <v>0.1333333333</v>
      </c>
      <c r="K20" s="117">
        <f t="shared" si="3"/>
        <v>0.1333333333</v>
      </c>
      <c r="L20" s="120">
        <f t="shared" si="4"/>
        <v>38400</v>
      </c>
      <c r="M20" s="269">
        <v>288000.0</v>
      </c>
      <c r="N20" s="270"/>
    </row>
    <row r="21" ht="21.0" customHeight="1">
      <c r="A21" s="273"/>
      <c r="B21" s="274" t="s">
        <v>174</v>
      </c>
      <c r="C21" s="275"/>
      <c r="D21" s="276">
        <v>6.0</v>
      </c>
      <c r="E21" s="39"/>
      <c r="F21" s="39"/>
      <c r="G21" s="276">
        <v>48.0</v>
      </c>
      <c r="H21" s="277"/>
      <c r="I21" s="278">
        <f t="shared" si="1"/>
        <v>288</v>
      </c>
      <c r="J21" s="279">
        <f t="shared" si="2"/>
        <v>0.4</v>
      </c>
      <c r="K21" s="279">
        <f t="shared" si="3"/>
        <v>0.4</v>
      </c>
      <c r="L21" s="280">
        <f t="shared" si="4"/>
        <v>77760</v>
      </c>
      <c r="M21" s="281">
        <v>194400.0</v>
      </c>
      <c r="N21" s="270"/>
    </row>
    <row r="22" ht="22.5" customHeight="1">
      <c r="A22" s="60" t="s">
        <v>135</v>
      </c>
      <c r="B22" s="282" t="s">
        <v>189</v>
      </c>
      <c r="C22" s="268"/>
      <c r="D22" s="283">
        <v>2.0</v>
      </c>
      <c r="E22" s="43"/>
      <c r="F22" s="43"/>
      <c r="G22" s="249">
        <v>96.0</v>
      </c>
      <c r="H22" s="115"/>
      <c r="I22" s="116">
        <f t="shared" si="1"/>
        <v>192</v>
      </c>
      <c r="J22" s="117">
        <f t="shared" si="2"/>
        <v>0.2666666667</v>
      </c>
      <c r="K22" s="117">
        <f t="shared" si="3"/>
        <v>0.2666666667</v>
      </c>
      <c r="L22" s="120">
        <f t="shared" si="4"/>
        <v>51840</v>
      </c>
      <c r="M22" s="269">
        <v>194400.0</v>
      </c>
      <c r="N22" s="270"/>
    </row>
    <row r="23" ht="22.5" customHeight="1">
      <c r="A23" s="60" t="s">
        <v>136</v>
      </c>
      <c r="B23" s="282" t="s">
        <v>190</v>
      </c>
      <c r="C23" s="268"/>
      <c r="D23" s="283">
        <v>2.0</v>
      </c>
      <c r="E23" s="43"/>
      <c r="F23" s="43"/>
      <c r="G23" s="249">
        <v>96.0</v>
      </c>
      <c r="H23" s="115"/>
      <c r="I23" s="116">
        <f t="shared" si="1"/>
        <v>192</v>
      </c>
      <c r="J23" s="117">
        <f t="shared" si="2"/>
        <v>0.2666666667</v>
      </c>
      <c r="K23" s="117">
        <f t="shared" si="3"/>
        <v>0.2666666667</v>
      </c>
      <c r="L23" s="120">
        <f t="shared" si="4"/>
        <v>51840</v>
      </c>
      <c r="M23" s="269">
        <v>194400.0</v>
      </c>
      <c r="N23" s="270"/>
    </row>
    <row r="24" ht="22.5" customHeight="1">
      <c r="A24" s="60" t="s">
        <v>137</v>
      </c>
      <c r="B24" s="284" t="s">
        <v>191</v>
      </c>
      <c r="C24" s="268"/>
      <c r="D24" s="283">
        <v>2.0</v>
      </c>
      <c r="E24" s="43"/>
      <c r="F24" s="43"/>
      <c r="G24" s="114">
        <v>96.0</v>
      </c>
      <c r="H24" s="115"/>
      <c r="I24" s="116">
        <f t="shared" si="1"/>
        <v>192</v>
      </c>
      <c r="J24" s="117">
        <f t="shared" si="2"/>
        <v>0.2666666667</v>
      </c>
      <c r="K24" s="117">
        <f t="shared" si="3"/>
        <v>0.2666666667</v>
      </c>
      <c r="L24" s="120">
        <f t="shared" si="4"/>
        <v>51840</v>
      </c>
      <c r="M24" s="269">
        <v>194400.0</v>
      </c>
      <c r="N24" s="270"/>
    </row>
    <row r="25" ht="22.5" customHeight="1">
      <c r="A25" s="60" t="s">
        <v>138</v>
      </c>
      <c r="B25" s="285" t="s">
        <v>27</v>
      </c>
      <c r="C25" s="268"/>
      <c r="D25" s="283">
        <v>2.0</v>
      </c>
      <c r="E25" s="43"/>
      <c r="F25" s="43"/>
      <c r="G25" s="114">
        <v>96.0</v>
      </c>
      <c r="H25" s="115"/>
      <c r="I25" s="116">
        <f t="shared" si="1"/>
        <v>192</v>
      </c>
      <c r="J25" s="117">
        <f t="shared" si="2"/>
        <v>0.2666666667</v>
      </c>
      <c r="K25" s="117">
        <f t="shared" si="3"/>
        <v>0.2666666667</v>
      </c>
      <c r="L25" s="120">
        <f t="shared" si="4"/>
        <v>51840</v>
      </c>
      <c r="M25" s="269">
        <v>194400.0</v>
      </c>
      <c r="N25" s="270"/>
    </row>
    <row r="26" ht="22.5" customHeight="1">
      <c r="A26" s="60" t="s">
        <v>139</v>
      </c>
      <c r="B26" s="285" t="s">
        <v>80</v>
      </c>
      <c r="C26" s="268"/>
      <c r="D26" s="283">
        <v>2.0</v>
      </c>
      <c r="E26" s="43"/>
      <c r="F26" s="43"/>
      <c r="G26" s="249">
        <v>72.0</v>
      </c>
      <c r="H26" s="115"/>
      <c r="I26" s="116">
        <f t="shared" si="1"/>
        <v>144</v>
      </c>
      <c r="J26" s="117">
        <f t="shared" si="2"/>
        <v>0.2</v>
      </c>
      <c r="K26" s="117">
        <f t="shared" si="3"/>
        <v>0.2</v>
      </c>
      <c r="L26" s="120">
        <f t="shared" si="4"/>
        <v>38880</v>
      </c>
      <c r="M26" s="269">
        <v>194400.0</v>
      </c>
      <c r="N26" s="270"/>
    </row>
    <row r="27" ht="22.5" customHeight="1">
      <c r="A27" s="60" t="s">
        <v>140</v>
      </c>
      <c r="B27" s="285" t="s">
        <v>30</v>
      </c>
      <c r="C27" s="268"/>
      <c r="D27" s="283">
        <v>2.0</v>
      </c>
      <c r="E27" s="43"/>
      <c r="F27" s="43"/>
      <c r="G27" s="249">
        <v>120.0</v>
      </c>
      <c r="H27" s="115"/>
      <c r="I27" s="116">
        <f t="shared" si="1"/>
        <v>240</v>
      </c>
      <c r="J27" s="117">
        <f t="shared" si="2"/>
        <v>0.3333333333</v>
      </c>
      <c r="K27" s="117">
        <f t="shared" si="3"/>
        <v>0.3333333333</v>
      </c>
      <c r="L27" s="120">
        <f t="shared" si="4"/>
        <v>64800</v>
      </c>
      <c r="M27" s="269">
        <v>194400.0</v>
      </c>
      <c r="N27" s="270"/>
    </row>
    <row r="28" ht="22.5" customHeight="1">
      <c r="A28" s="60" t="s">
        <v>141</v>
      </c>
      <c r="B28" s="285" t="s">
        <v>46</v>
      </c>
      <c r="C28" s="268"/>
      <c r="D28" s="283">
        <v>2.0</v>
      </c>
      <c r="E28" s="43"/>
      <c r="F28" s="43"/>
      <c r="G28" s="114">
        <v>72.0</v>
      </c>
      <c r="H28" s="115"/>
      <c r="I28" s="116">
        <f t="shared" si="1"/>
        <v>144</v>
      </c>
      <c r="J28" s="117">
        <f t="shared" si="2"/>
        <v>0.2</v>
      </c>
      <c r="K28" s="117">
        <f t="shared" si="3"/>
        <v>0.2</v>
      </c>
      <c r="L28" s="120">
        <f t="shared" si="4"/>
        <v>38880</v>
      </c>
      <c r="M28" s="269">
        <v>194400.0</v>
      </c>
      <c r="N28" s="270"/>
    </row>
    <row r="29" ht="22.5" customHeight="1">
      <c r="A29" s="60" t="s">
        <v>142</v>
      </c>
      <c r="B29" s="286" t="s">
        <v>185</v>
      </c>
      <c r="C29" s="268"/>
      <c r="D29" s="283">
        <v>2.0</v>
      </c>
      <c r="E29" s="43"/>
      <c r="F29" s="43"/>
      <c r="G29" s="114">
        <v>96.0</v>
      </c>
      <c r="H29" s="115"/>
      <c r="I29" s="116">
        <f t="shared" si="1"/>
        <v>192</v>
      </c>
      <c r="J29" s="117">
        <f t="shared" si="2"/>
        <v>0.2666666667</v>
      </c>
      <c r="K29" s="117">
        <f t="shared" si="3"/>
        <v>0.2666666667</v>
      </c>
      <c r="L29" s="120">
        <f t="shared" si="4"/>
        <v>76800</v>
      </c>
      <c r="M29" s="269">
        <v>288000.0</v>
      </c>
      <c r="N29" s="270"/>
    </row>
    <row r="30" ht="22.5" customHeight="1">
      <c r="A30" s="60" t="s">
        <v>143</v>
      </c>
      <c r="B30" s="287" t="s">
        <v>81</v>
      </c>
      <c r="C30" s="268"/>
      <c r="D30" s="283">
        <v>2.0</v>
      </c>
      <c r="E30" s="43"/>
      <c r="F30" s="43"/>
      <c r="G30" s="114">
        <v>120.0</v>
      </c>
      <c r="H30" s="115"/>
      <c r="I30" s="116">
        <f t="shared" si="1"/>
        <v>240</v>
      </c>
      <c r="J30" s="117">
        <f t="shared" si="2"/>
        <v>0.3333333333</v>
      </c>
      <c r="K30" s="117">
        <f t="shared" si="3"/>
        <v>0.3333333333</v>
      </c>
      <c r="L30" s="120">
        <f t="shared" si="4"/>
        <v>96000</v>
      </c>
      <c r="M30" s="269">
        <v>288000.0</v>
      </c>
      <c r="N30" s="270"/>
    </row>
    <row r="31" ht="22.5" customHeight="1">
      <c r="A31" s="60" t="s">
        <v>144</v>
      </c>
      <c r="B31" s="285" t="s">
        <v>34</v>
      </c>
      <c r="C31" s="268"/>
      <c r="D31" s="283">
        <v>2.0</v>
      </c>
      <c r="E31" s="43"/>
      <c r="F31" s="43"/>
      <c r="G31" s="249">
        <v>96.0</v>
      </c>
      <c r="H31" s="115"/>
      <c r="I31" s="116">
        <f t="shared" si="1"/>
        <v>192</v>
      </c>
      <c r="J31" s="117">
        <f t="shared" si="2"/>
        <v>0.2666666667</v>
      </c>
      <c r="K31" s="117">
        <f t="shared" si="3"/>
        <v>0.2666666667</v>
      </c>
      <c r="L31" s="120">
        <f t="shared" si="4"/>
        <v>51840</v>
      </c>
      <c r="M31" s="269">
        <v>194400.0</v>
      </c>
      <c r="N31" s="270"/>
    </row>
    <row r="32" ht="22.5" customHeight="1">
      <c r="A32" s="60" t="s">
        <v>145</v>
      </c>
      <c r="B32" s="285" t="s">
        <v>38</v>
      </c>
      <c r="C32" s="268"/>
      <c r="D32" s="283">
        <v>2.0</v>
      </c>
      <c r="E32" s="43"/>
      <c r="F32" s="43"/>
      <c r="G32" s="114">
        <v>96.0</v>
      </c>
      <c r="H32" s="115"/>
      <c r="I32" s="116">
        <f t="shared" si="1"/>
        <v>192</v>
      </c>
      <c r="J32" s="117">
        <f t="shared" si="2"/>
        <v>0.2666666667</v>
      </c>
      <c r="K32" s="117">
        <f t="shared" si="3"/>
        <v>0.2666666667</v>
      </c>
      <c r="L32" s="120">
        <f t="shared" si="4"/>
        <v>76800</v>
      </c>
      <c r="M32" s="269">
        <v>288000.0</v>
      </c>
      <c r="N32" s="270"/>
    </row>
    <row r="33" ht="22.5" customHeight="1">
      <c r="A33" s="60" t="s">
        <v>146</v>
      </c>
      <c r="B33" s="285" t="s">
        <v>82</v>
      </c>
      <c r="C33" s="268"/>
      <c r="D33" s="283">
        <v>2.0</v>
      </c>
      <c r="E33" s="43"/>
      <c r="F33" s="43"/>
      <c r="G33" s="249">
        <v>72.0</v>
      </c>
      <c r="H33" s="115"/>
      <c r="I33" s="116">
        <f t="shared" si="1"/>
        <v>144</v>
      </c>
      <c r="J33" s="117">
        <f t="shared" si="2"/>
        <v>0.2</v>
      </c>
      <c r="K33" s="117">
        <f t="shared" si="3"/>
        <v>0.2</v>
      </c>
      <c r="L33" s="120">
        <f t="shared" si="4"/>
        <v>57600</v>
      </c>
      <c r="M33" s="269">
        <v>288000.0</v>
      </c>
      <c r="N33" s="270"/>
    </row>
    <row r="34" ht="22.5" customHeight="1">
      <c r="A34" s="60" t="s">
        <v>147</v>
      </c>
      <c r="B34" s="285" t="s">
        <v>83</v>
      </c>
      <c r="C34" s="268"/>
      <c r="D34" s="283">
        <v>2.0</v>
      </c>
      <c r="E34" s="43"/>
      <c r="F34" s="43"/>
      <c r="G34" s="114">
        <v>72.0</v>
      </c>
      <c r="H34" s="115"/>
      <c r="I34" s="116">
        <f t="shared" si="1"/>
        <v>144</v>
      </c>
      <c r="J34" s="117">
        <f t="shared" si="2"/>
        <v>0.2</v>
      </c>
      <c r="K34" s="117">
        <f t="shared" si="3"/>
        <v>0.2</v>
      </c>
      <c r="L34" s="120">
        <f t="shared" si="4"/>
        <v>57600</v>
      </c>
      <c r="M34" s="269">
        <v>288000.0</v>
      </c>
      <c r="N34" s="270"/>
    </row>
    <row r="35" ht="22.5" customHeight="1">
      <c r="A35" s="60" t="s">
        <v>148</v>
      </c>
      <c r="B35" s="285" t="s">
        <v>84</v>
      </c>
      <c r="C35" s="268"/>
      <c r="D35" s="283">
        <v>2.0</v>
      </c>
      <c r="E35" s="43"/>
      <c r="F35" s="43"/>
      <c r="G35" s="114">
        <v>72.0</v>
      </c>
      <c r="H35" s="115"/>
      <c r="I35" s="116">
        <f t="shared" si="1"/>
        <v>144</v>
      </c>
      <c r="J35" s="117">
        <f t="shared" si="2"/>
        <v>0.2</v>
      </c>
      <c r="K35" s="117">
        <f t="shared" si="3"/>
        <v>0.2</v>
      </c>
      <c r="L35" s="120">
        <f t="shared" si="4"/>
        <v>57600</v>
      </c>
      <c r="M35" s="269">
        <v>288000.0</v>
      </c>
      <c r="N35" s="270"/>
    </row>
    <row r="36" ht="22.5" customHeight="1">
      <c r="A36" s="60" t="s">
        <v>149</v>
      </c>
      <c r="B36" s="288" t="s">
        <v>85</v>
      </c>
      <c r="C36" s="268"/>
      <c r="D36" s="283">
        <v>2.0</v>
      </c>
      <c r="E36" s="43"/>
      <c r="F36" s="43"/>
      <c r="G36" s="114">
        <v>24.0</v>
      </c>
      <c r="H36" s="115"/>
      <c r="I36" s="116">
        <f t="shared" si="1"/>
        <v>48</v>
      </c>
      <c r="J36" s="117">
        <f t="shared" si="2"/>
        <v>0.06666666667</v>
      </c>
      <c r="K36" s="117">
        <f t="shared" si="3"/>
        <v>0.06666666667</v>
      </c>
      <c r="L36" s="120">
        <f t="shared" si="4"/>
        <v>12960</v>
      </c>
      <c r="M36" s="269">
        <v>194400.0</v>
      </c>
      <c r="N36" s="270"/>
    </row>
    <row r="37" ht="22.5" customHeight="1">
      <c r="A37" s="60" t="s">
        <v>150</v>
      </c>
      <c r="B37" s="285" t="s">
        <v>86</v>
      </c>
      <c r="C37" s="268"/>
      <c r="D37" s="283">
        <v>2.0</v>
      </c>
      <c r="E37" s="43"/>
      <c r="F37" s="43"/>
      <c r="G37" s="114">
        <v>72.0</v>
      </c>
      <c r="H37" s="115"/>
      <c r="I37" s="116">
        <f t="shared" si="1"/>
        <v>144</v>
      </c>
      <c r="J37" s="117">
        <f t="shared" si="2"/>
        <v>0.2</v>
      </c>
      <c r="K37" s="117">
        <f t="shared" si="3"/>
        <v>0.2</v>
      </c>
      <c r="L37" s="120">
        <f t="shared" si="4"/>
        <v>38880</v>
      </c>
      <c r="M37" s="269">
        <v>194400.0</v>
      </c>
      <c r="N37" s="270"/>
    </row>
    <row r="38" ht="22.5" customHeight="1">
      <c r="A38" s="273"/>
      <c r="B38" s="274" t="s">
        <v>174</v>
      </c>
      <c r="C38" s="275"/>
      <c r="D38" s="276">
        <v>2.0</v>
      </c>
      <c r="E38" s="39"/>
      <c r="F38" s="39"/>
      <c r="G38" s="276">
        <v>48.0</v>
      </c>
      <c r="H38" s="277"/>
      <c r="I38" s="278">
        <f t="shared" si="1"/>
        <v>96</v>
      </c>
      <c r="J38" s="279">
        <f t="shared" si="2"/>
        <v>0.1333333333</v>
      </c>
      <c r="K38" s="279">
        <f t="shared" si="3"/>
        <v>0.1333333333</v>
      </c>
      <c r="L38" s="280">
        <f t="shared" si="4"/>
        <v>25920</v>
      </c>
      <c r="M38" s="281">
        <v>194400.0</v>
      </c>
      <c r="N38" s="270"/>
    </row>
    <row r="39" ht="12.75" customHeight="1">
      <c r="A39" s="198"/>
      <c r="B39" s="171" t="s">
        <v>152</v>
      </c>
      <c r="C39" s="171"/>
      <c r="D39" s="172">
        <f t="shared" ref="D39:M39" si="5">SUM(D4:D38)</f>
        <v>118</v>
      </c>
      <c r="E39" s="172">
        <f t="shared" si="5"/>
        <v>0</v>
      </c>
      <c r="F39" s="172">
        <f t="shared" si="5"/>
        <v>0</v>
      </c>
      <c r="G39" s="172">
        <f t="shared" si="5"/>
        <v>2928</v>
      </c>
      <c r="H39" s="172">
        <f t="shared" si="5"/>
        <v>0</v>
      </c>
      <c r="I39" s="199">
        <f t="shared" si="5"/>
        <v>9768</v>
      </c>
      <c r="J39" s="289">
        <f t="shared" si="5"/>
        <v>13.56666667</v>
      </c>
      <c r="K39" s="289">
        <f t="shared" si="5"/>
        <v>13.56666667</v>
      </c>
      <c r="L39" s="199">
        <f t="shared" si="5"/>
        <v>2983680</v>
      </c>
      <c r="M39" s="172">
        <f t="shared" si="5"/>
        <v>8020800</v>
      </c>
      <c r="N39" s="290"/>
    </row>
    <row r="40" ht="30.0" customHeight="1">
      <c r="A40" s="100" t="s">
        <v>153</v>
      </c>
      <c r="B40" s="183" t="s">
        <v>88</v>
      </c>
      <c r="C40" s="16" t="s">
        <v>192</v>
      </c>
      <c r="D40" s="291">
        <v>3.0</v>
      </c>
      <c r="E40" s="291">
        <v>1.0</v>
      </c>
      <c r="F40" s="291"/>
      <c r="G40" s="292">
        <v>96.0</v>
      </c>
      <c r="H40" s="293"/>
      <c r="I40" s="294">
        <f t="shared" ref="I40:I43" si="6">((G40*D40)+(G40*E40))/2</f>
        <v>192</v>
      </c>
      <c r="J40" s="295">
        <f t="shared" ref="J40:J59" si="7">I40/720</f>
        <v>0.2666666667</v>
      </c>
      <c r="K40" s="295">
        <f t="shared" ref="K40:K59" si="8">J40</f>
        <v>0.2666666667</v>
      </c>
      <c r="L40" s="296">
        <f t="shared" ref="L40:L59" si="9">J40*M40</f>
        <v>76800</v>
      </c>
      <c r="M40" s="269">
        <v>288000.0</v>
      </c>
      <c r="N40" s="270"/>
    </row>
    <row r="41" ht="27.0" customHeight="1">
      <c r="A41" s="100" t="s">
        <v>154</v>
      </c>
      <c r="B41" s="297" t="s">
        <v>193</v>
      </c>
      <c r="C41" s="16" t="s">
        <v>192</v>
      </c>
      <c r="D41" s="291">
        <v>3.0</v>
      </c>
      <c r="E41" s="291">
        <v>1.0</v>
      </c>
      <c r="F41" s="298"/>
      <c r="G41" s="292">
        <v>96.0</v>
      </c>
      <c r="H41" s="293"/>
      <c r="I41" s="294">
        <f t="shared" si="6"/>
        <v>192</v>
      </c>
      <c r="J41" s="295">
        <f t="shared" si="7"/>
        <v>0.2666666667</v>
      </c>
      <c r="K41" s="295">
        <f t="shared" si="8"/>
        <v>0.2666666667</v>
      </c>
      <c r="L41" s="296">
        <f t="shared" si="9"/>
        <v>76800</v>
      </c>
      <c r="M41" s="269">
        <v>288000.0</v>
      </c>
      <c r="N41" s="270"/>
    </row>
    <row r="42" ht="27.75" customHeight="1">
      <c r="A42" s="100" t="s">
        <v>155</v>
      </c>
      <c r="B42" s="299" t="s">
        <v>194</v>
      </c>
      <c r="C42" s="16" t="s">
        <v>192</v>
      </c>
      <c r="D42" s="291">
        <v>3.0</v>
      </c>
      <c r="E42" s="291">
        <v>1.0</v>
      </c>
      <c r="F42" s="298"/>
      <c r="G42" s="292">
        <v>48.0</v>
      </c>
      <c r="H42" s="293"/>
      <c r="I42" s="294">
        <f t="shared" si="6"/>
        <v>96</v>
      </c>
      <c r="J42" s="295">
        <f t="shared" si="7"/>
        <v>0.1333333333</v>
      </c>
      <c r="K42" s="295">
        <f t="shared" si="8"/>
        <v>0.1333333333</v>
      </c>
      <c r="L42" s="296">
        <f t="shared" si="9"/>
        <v>38400</v>
      </c>
      <c r="M42" s="269">
        <v>288000.0</v>
      </c>
      <c r="N42" s="270"/>
    </row>
    <row r="43" ht="39.0" customHeight="1">
      <c r="A43" s="100" t="s">
        <v>156</v>
      </c>
      <c r="B43" s="300" t="s">
        <v>48</v>
      </c>
      <c r="C43" s="16" t="s">
        <v>192</v>
      </c>
      <c r="D43" s="291">
        <v>3.0</v>
      </c>
      <c r="E43" s="291">
        <v>1.0</v>
      </c>
      <c r="F43" s="298"/>
      <c r="G43" s="292">
        <v>96.0</v>
      </c>
      <c r="H43" s="293"/>
      <c r="I43" s="294">
        <f t="shared" si="6"/>
        <v>192</v>
      </c>
      <c r="J43" s="295">
        <f t="shared" si="7"/>
        <v>0.2666666667</v>
      </c>
      <c r="K43" s="295">
        <f t="shared" si="8"/>
        <v>0.2666666667</v>
      </c>
      <c r="L43" s="296">
        <f t="shared" si="9"/>
        <v>76800</v>
      </c>
      <c r="M43" s="269">
        <v>288000.0</v>
      </c>
      <c r="N43" s="270"/>
    </row>
    <row r="44" ht="19.5" customHeight="1">
      <c r="A44" s="100" t="s">
        <v>153</v>
      </c>
      <c r="B44" s="183" t="s">
        <v>88</v>
      </c>
      <c r="C44" s="301" t="s">
        <v>195</v>
      </c>
      <c r="D44" s="302">
        <v>1.0</v>
      </c>
      <c r="E44" s="302"/>
      <c r="F44" s="302"/>
      <c r="G44" s="292">
        <v>96.0</v>
      </c>
      <c r="H44" s="293"/>
      <c r="I44" s="294">
        <f t="shared" ref="I44:I47" si="10">(G44*D44)+(G44*E44)</f>
        <v>96</v>
      </c>
      <c r="J44" s="295">
        <f t="shared" si="7"/>
        <v>0.1333333333</v>
      </c>
      <c r="K44" s="295">
        <f t="shared" si="8"/>
        <v>0.1333333333</v>
      </c>
      <c r="L44" s="296">
        <f t="shared" si="9"/>
        <v>25920</v>
      </c>
      <c r="M44" s="269">
        <v>194400.0</v>
      </c>
      <c r="N44" s="270"/>
    </row>
    <row r="45" ht="24.0" customHeight="1">
      <c r="A45" s="100" t="s">
        <v>154</v>
      </c>
      <c r="B45" s="297" t="s">
        <v>193</v>
      </c>
      <c r="C45" s="301" t="s">
        <v>195</v>
      </c>
      <c r="D45" s="302">
        <v>1.0</v>
      </c>
      <c r="E45" s="302"/>
      <c r="F45" s="302"/>
      <c r="G45" s="292">
        <v>96.0</v>
      </c>
      <c r="H45" s="293"/>
      <c r="I45" s="294">
        <f t="shared" si="10"/>
        <v>96</v>
      </c>
      <c r="J45" s="295">
        <f t="shared" si="7"/>
        <v>0.1333333333</v>
      </c>
      <c r="K45" s="295">
        <f t="shared" si="8"/>
        <v>0.1333333333</v>
      </c>
      <c r="L45" s="296">
        <f t="shared" si="9"/>
        <v>25920</v>
      </c>
      <c r="M45" s="269">
        <v>194400.0</v>
      </c>
      <c r="N45" s="270"/>
    </row>
    <row r="46" ht="24.0" customHeight="1">
      <c r="A46" s="100" t="s">
        <v>155</v>
      </c>
      <c r="B46" s="299" t="s">
        <v>194</v>
      </c>
      <c r="C46" s="301" t="s">
        <v>195</v>
      </c>
      <c r="D46" s="302">
        <v>1.0</v>
      </c>
      <c r="E46" s="302"/>
      <c r="F46" s="302"/>
      <c r="G46" s="292">
        <v>48.0</v>
      </c>
      <c r="H46" s="293"/>
      <c r="I46" s="294">
        <f t="shared" si="10"/>
        <v>48</v>
      </c>
      <c r="J46" s="295">
        <f t="shared" si="7"/>
        <v>0.06666666667</v>
      </c>
      <c r="K46" s="295">
        <f t="shared" si="8"/>
        <v>0.06666666667</v>
      </c>
      <c r="L46" s="296">
        <f t="shared" si="9"/>
        <v>12960</v>
      </c>
      <c r="M46" s="269">
        <v>194400.0</v>
      </c>
      <c r="N46" s="270"/>
    </row>
    <row r="47" ht="24.0" customHeight="1">
      <c r="A47" s="100" t="s">
        <v>156</v>
      </c>
      <c r="B47" s="300" t="s">
        <v>48</v>
      </c>
      <c r="C47" s="301" t="s">
        <v>195</v>
      </c>
      <c r="D47" s="302">
        <v>1.0</v>
      </c>
      <c r="E47" s="302"/>
      <c r="F47" s="302"/>
      <c r="G47" s="292">
        <v>96.0</v>
      </c>
      <c r="H47" s="293"/>
      <c r="I47" s="294">
        <f t="shared" si="10"/>
        <v>96</v>
      </c>
      <c r="J47" s="295">
        <f t="shared" si="7"/>
        <v>0.1333333333</v>
      </c>
      <c r="K47" s="295">
        <f t="shared" si="8"/>
        <v>0.1333333333</v>
      </c>
      <c r="L47" s="296">
        <f t="shared" si="9"/>
        <v>25920</v>
      </c>
      <c r="M47" s="269">
        <v>194400.0</v>
      </c>
      <c r="N47" s="270"/>
    </row>
    <row r="48" ht="24.0" customHeight="1">
      <c r="A48" s="100" t="s">
        <v>153</v>
      </c>
      <c r="B48" s="183" t="s">
        <v>88</v>
      </c>
      <c r="C48" s="301" t="s">
        <v>195</v>
      </c>
      <c r="D48" s="302"/>
      <c r="E48" s="302"/>
      <c r="F48" s="302">
        <v>1.0</v>
      </c>
      <c r="G48" s="292">
        <v>30.0</v>
      </c>
      <c r="H48" s="293"/>
      <c r="I48" s="294">
        <f t="shared" ref="I48:I51" si="11">(G48*F48)</f>
        <v>30</v>
      </c>
      <c r="J48" s="295">
        <f t="shared" si="7"/>
        <v>0.04166666667</v>
      </c>
      <c r="K48" s="295">
        <f t="shared" si="8"/>
        <v>0.04166666667</v>
      </c>
      <c r="L48" s="296">
        <f t="shared" si="9"/>
        <v>8100</v>
      </c>
      <c r="M48" s="269">
        <v>194400.0</v>
      </c>
      <c r="N48" s="270"/>
    </row>
    <row r="49" ht="24.0" customHeight="1">
      <c r="A49" s="100" t="s">
        <v>154</v>
      </c>
      <c r="B49" s="297" t="s">
        <v>193</v>
      </c>
      <c r="C49" s="301" t="s">
        <v>195</v>
      </c>
      <c r="D49" s="302"/>
      <c r="E49" s="302"/>
      <c r="F49" s="302">
        <v>1.0</v>
      </c>
      <c r="G49" s="292">
        <v>30.0</v>
      </c>
      <c r="H49" s="293"/>
      <c r="I49" s="294">
        <f t="shared" si="11"/>
        <v>30</v>
      </c>
      <c r="J49" s="295">
        <f t="shared" si="7"/>
        <v>0.04166666667</v>
      </c>
      <c r="K49" s="295">
        <f t="shared" si="8"/>
        <v>0.04166666667</v>
      </c>
      <c r="L49" s="296">
        <f t="shared" si="9"/>
        <v>8100</v>
      </c>
      <c r="M49" s="269">
        <v>194400.0</v>
      </c>
      <c r="N49" s="270"/>
    </row>
    <row r="50" ht="24.0" customHeight="1">
      <c r="A50" s="100" t="s">
        <v>155</v>
      </c>
      <c r="B50" s="297" t="s">
        <v>194</v>
      </c>
      <c r="C50" s="301" t="s">
        <v>195</v>
      </c>
      <c r="D50" s="302"/>
      <c r="E50" s="302"/>
      <c r="F50" s="302">
        <v>1.0</v>
      </c>
      <c r="G50" s="292">
        <v>16.0</v>
      </c>
      <c r="H50" s="293"/>
      <c r="I50" s="294">
        <f t="shared" si="11"/>
        <v>16</v>
      </c>
      <c r="J50" s="295">
        <f t="shared" si="7"/>
        <v>0.02222222222</v>
      </c>
      <c r="K50" s="295">
        <f t="shared" si="8"/>
        <v>0.02222222222</v>
      </c>
      <c r="L50" s="296">
        <f t="shared" si="9"/>
        <v>4320</v>
      </c>
      <c r="M50" s="269">
        <v>194400.0</v>
      </c>
      <c r="N50" s="270"/>
    </row>
    <row r="51" ht="24.0" customHeight="1">
      <c r="A51" s="100" t="s">
        <v>156</v>
      </c>
      <c r="B51" s="187" t="s">
        <v>48</v>
      </c>
      <c r="C51" s="301" t="s">
        <v>195</v>
      </c>
      <c r="D51" s="302"/>
      <c r="E51" s="302"/>
      <c r="F51" s="302">
        <v>1.0</v>
      </c>
      <c r="G51" s="292">
        <v>30.0</v>
      </c>
      <c r="H51" s="293"/>
      <c r="I51" s="294">
        <f t="shared" si="11"/>
        <v>30</v>
      </c>
      <c r="J51" s="295">
        <f t="shared" si="7"/>
        <v>0.04166666667</v>
      </c>
      <c r="K51" s="295">
        <f t="shared" si="8"/>
        <v>0.04166666667</v>
      </c>
      <c r="L51" s="296">
        <f t="shared" si="9"/>
        <v>8100</v>
      </c>
      <c r="M51" s="269">
        <v>194400.0</v>
      </c>
      <c r="N51" s="270"/>
    </row>
    <row r="52" ht="18.0" customHeight="1">
      <c r="A52" s="100" t="s">
        <v>153</v>
      </c>
      <c r="B52" s="183" t="s">
        <v>88</v>
      </c>
      <c r="C52" s="301" t="s">
        <v>196</v>
      </c>
      <c r="D52" s="302">
        <v>1.0</v>
      </c>
      <c r="E52" s="302">
        <v>1.0</v>
      </c>
      <c r="F52" s="303"/>
      <c r="G52" s="292">
        <v>96.0</v>
      </c>
      <c r="H52" s="293"/>
      <c r="I52" s="294">
        <f t="shared" ref="I52:I53" si="12">(G52*D52)+(G52*E52)</f>
        <v>192</v>
      </c>
      <c r="J52" s="295">
        <f t="shared" si="7"/>
        <v>0.2666666667</v>
      </c>
      <c r="K52" s="295">
        <f t="shared" si="8"/>
        <v>0.2666666667</v>
      </c>
      <c r="L52" s="296">
        <f t="shared" si="9"/>
        <v>51840</v>
      </c>
      <c r="M52" s="269">
        <v>194400.0</v>
      </c>
      <c r="N52" s="270"/>
    </row>
    <row r="53" ht="24.0" customHeight="1">
      <c r="A53" s="100" t="s">
        <v>154</v>
      </c>
      <c r="B53" s="297" t="s">
        <v>193</v>
      </c>
      <c r="C53" s="301" t="s">
        <v>196</v>
      </c>
      <c r="D53" s="302">
        <v>1.0</v>
      </c>
      <c r="E53" s="302">
        <v>1.0</v>
      </c>
      <c r="F53" s="303"/>
      <c r="G53" s="292">
        <v>96.0</v>
      </c>
      <c r="H53" s="293"/>
      <c r="I53" s="294">
        <f t="shared" si="12"/>
        <v>192</v>
      </c>
      <c r="J53" s="295">
        <f t="shared" si="7"/>
        <v>0.2666666667</v>
      </c>
      <c r="K53" s="295">
        <f t="shared" si="8"/>
        <v>0.2666666667</v>
      </c>
      <c r="L53" s="296">
        <f t="shared" si="9"/>
        <v>51840</v>
      </c>
      <c r="M53" s="269">
        <v>194400.0</v>
      </c>
      <c r="N53" s="270"/>
    </row>
    <row r="54" ht="24.0" customHeight="1">
      <c r="A54" s="100" t="s">
        <v>155</v>
      </c>
      <c r="B54" s="299" t="s">
        <v>194</v>
      </c>
      <c r="C54" s="301" t="s">
        <v>196</v>
      </c>
      <c r="D54" s="302">
        <v>1.0</v>
      </c>
      <c r="E54" s="302">
        <v>1.0</v>
      </c>
      <c r="F54" s="303"/>
      <c r="G54" s="292">
        <v>48.0</v>
      </c>
      <c r="H54" s="293"/>
      <c r="I54" s="294">
        <f t="shared" ref="I54:I55" si="13">((G54*D54)+(G54*E54))/2</f>
        <v>48</v>
      </c>
      <c r="J54" s="295">
        <f t="shared" si="7"/>
        <v>0.06666666667</v>
      </c>
      <c r="K54" s="295">
        <f t="shared" si="8"/>
        <v>0.06666666667</v>
      </c>
      <c r="L54" s="296">
        <f t="shared" si="9"/>
        <v>12960</v>
      </c>
      <c r="M54" s="269">
        <v>194400.0</v>
      </c>
      <c r="N54" s="270"/>
    </row>
    <row r="55" ht="24.0" customHeight="1">
      <c r="A55" s="100" t="s">
        <v>156</v>
      </c>
      <c r="B55" s="300" t="s">
        <v>48</v>
      </c>
      <c r="C55" s="301" t="s">
        <v>196</v>
      </c>
      <c r="D55" s="302">
        <v>1.0</v>
      </c>
      <c r="E55" s="302">
        <v>1.0</v>
      </c>
      <c r="F55" s="303"/>
      <c r="G55" s="292">
        <v>96.0</v>
      </c>
      <c r="H55" s="293"/>
      <c r="I55" s="294">
        <f t="shared" si="13"/>
        <v>96</v>
      </c>
      <c r="J55" s="295">
        <f t="shared" si="7"/>
        <v>0.1333333333</v>
      </c>
      <c r="K55" s="295">
        <f t="shared" si="8"/>
        <v>0.1333333333</v>
      </c>
      <c r="L55" s="296">
        <f t="shared" si="9"/>
        <v>25920</v>
      </c>
      <c r="M55" s="269">
        <v>194400.0</v>
      </c>
      <c r="N55" s="270"/>
    </row>
    <row r="56" ht="18.75" customHeight="1">
      <c r="A56" s="100" t="s">
        <v>153</v>
      </c>
      <c r="B56" s="183" t="s">
        <v>88</v>
      </c>
      <c r="C56" s="301" t="s">
        <v>197</v>
      </c>
      <c r="D56" s="302">
        <v>1.0</v>
      </c>
      <c r="E56" s="303"/>
      <c r="F56" s="303"/>
      <c r="G56" s="292">
        <v>192.0</v>
      </c>
      <c r="H56" s="293"/>
      <c r="I56" s="294">
        <f t="shared" ref="I56:I59" si="14">(G56*D56)+(G56*E56)</f>
        <v>192</v>
      </c>
      <c r="J56" s="295">
        <f t="shared" si="7"/>
        <v>0.2666666667</v>
      </c>
      <c r="K56" s="295">
        <f t="shared" si="8"/>
        <v>0.2666666667</v>
      </c>
      <c r="L56" s="296">
        <f t="shared" si="9"/>
        <v>51840</v>
      </c>
      <c r="M56" s="269">
        <v>194400.0</v>
      </c>
      <c r="N56" s="304">
        <f t="shared" ref="N56:N59" si="15">SUM(I40,I44,I48,I52,I56)</f>
        <v>702</v>
      </c>
    </row>
    <row r="57" ht="24.0" customHeight="1">
      <c r="A57" s="100" t="s">
        <v>154</v>
      </c>
      <c r="B57" s="297" t="s">
        <v>193</v>
      </c>
      <c r="C57" s="301" t="s">
        <v>197</v>
      </c>
      <c r="D57" s="302">
        <v>1.0</v>
      </c>
      <c r="E57" s="303"/>
      <c r="F57" s="303"/>
      <c r="G57" s="292">
        <v>48.0</v>
      </c>
      <c r="H57" s="293"/>
      <c r="I57" s="294">
        <f t="shared" si="14"/>
        <v>48</v>
      </c>
      <c r="J57" s="295">
        <f t="shared" si="7"/>
        <v>0.06666666667</v>
      </c>
      <c r="K57" s="295">
        <f t="shared" si="8"/>
        <v>0.06666666667</v>
      </c>
      <c r="L57" s="296">
        <f t="shared" si="9"/>
        <v>12960</v>
      </c>
      <c r="M57" s="269">
        <v>194400.0</v>
      </c>
      <c r="N57" s="304">
        <f t="shared" si="15"/>
        <v>558</v>
      </c>
    </row>
    <row r="58" ht="24.0" customHeight="1">
      <c r="A58" s="100" t="s">
        <v>155</v>
      </c>
      <c r="B58" s="299" t="s">
        <v>194</v>
      </c>
      <c r="C58" s="301" t="s">
        <v>197</v>
      </c>
      <c r="D58" s="302">
        <v>1.0</v>
      </c>
      <c r="E58" s="303"/>
      <c r="F58" s="303"/>
      <c r="G58" s="292">
        <v>48.0</v>
      </c>
      <c r="H58" s="293"/>
      <c r="I58" s="294">
        <f t="shared" si="14"/>
        <v>48</v>
      </c>
      <c r="J58" s="295">
        <f t="shared" si="7"/>
        <v>0.06666666667</v>
      </c>
      <c r="K58" s="295">
        <f t="shared" si="8"/>
        <v>0.06666666667</v>
      </c>
      <c r="L58" s="296">
        <f t="shared" si="9"/>
        <v>12960</v>
      </c>
      <c r="M58" s="269">
        <v>194400.0</v>
      </c>
      <c r="N58" s="304">
        <f t="shared" si="15"/>
        <v>256</v>
      </c>
    </row>
    <row r="59" ht="24.0" customHeight="1">
      <c r="A59" s="100" t="s">
        <v>156</v>
      </c>
      <c r="B59" s="300" t="s">
        <v>48</v>
      </c>
      <c r="C59" s="301" t="s">
        <v>197</v>
      </c>
      <c r="D59" s="302">
        <v>1.0</v>
      </c>
      <c r="E59" s="303"/>
      <c r="F59" s="303"/>
      <c r="G59" s="292">
        <v>96.0</v>
      </c>
      <c r="H59" s="293"/>
      <c r="I59" s="294">
        <f t="shared" si="14"/>
        <v>96</v>
      </c>
      <c r="J59" s="295">
        <f t="shared" si="7"/>
        <v>0.1333333333</v>
      </c>
      <c r="K59" s="295">
        <f t="shared" si="8"/>
        <v>0.1333333333</v>
      </c>
      <c r="L59" s="296">
        <f t="shared" si="9"/>
        <v>25920</v>
      </c>
      <c r="M59" s="269">
        <v>194400.0</v>
      </c>
      <c r="N59" s="304">
        <f t="shared" si="15"/>
        <v>510</v>
      </c>
    </row>
    <row r="60" ht="12.75" customHeight="1">
      <c r="A60" s="198"/>
      <c r="B60" s="171" t="s">
        <v>157</v>
      </c>
      <c r="C60" s="171"/>
      <c r="D60" s="175">
        <f>SUM(D40:D59)</f>
        <v>24</v>
      </c>
      <c r="E60" s="175"/>
      <c r="F60" s="175">
        <f t="shared" ref="F60:M60" si="16">SUM(F40:F59)</f>
        <v>4</v>
      </c>
      <c r="G60" s="175">
        <f t="shared" si="16"/>
        <v>1498</v>
      </c>
      <c r="H60" s="175">
        <f t="shared" si="16"/>
        <v>0</v>
      </c>
      <c r="I60" s="175">
        <f t="shared" si="16"/>
        <v>2026</v>
      </c>
      <c r="J60" s="175">
        <f t="shared" si="16"/>
        <v>2.813888889</v>
      </c>
      <c r="K60" s="175">
        <f t="shared" si="16"/>
        <v>2.813888889</v>
      </c>
      <c r="L60" s="176">
        <f t="shared" si="16"/>
        <v>634380</v>
      </c>
      <c r="M60" s="176">
        <f t="shared" si="16"/>
        <v>4262400</v>
      </c>
      <c r="N60" s="290"/>
    </row>
    <row r="61" ht="13.5" customHeight="1">
      <c r="B61" s="305" t="s">
        <v>198</v>
      </c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7"/>
    </row>
    <row r="62" ht="17.25" customHeight="1">
      <c r="A62" s="255" t="s">
        <v>166</v>
      </c>
      <c r="B62" s="308" t="s">
        <v>167</v>
      </c>
      <c r="C62" s="309" t="s">
        <v>199</v>
      </c>
      <c r="D62" s="208">
        <v>2.0</v>
      </c>
      <c r="E62" s="208"/>
      <c r="F62" s="208">
        <v>0.0</v>
      </c>
      <c r="G62" s="208">
        <v>144.0</v>
      </c>
      <c r="H62" s="184"/>
      <c r="I62" s="201">
        <f>(G62*D62)+(H62*F62)</f>
        <v>288</v>
      </c>
      <c r="J62" s="117">
        <f t="shared" ref="J62:J69" si="17">I62/720</f>
        <v>0.4</v>
      </c>
      <c r="K62" s="117">
        <f t="shared" ref="K62:K69" si="18">J62</f>
        <v>0.4</v>
      </c>
      <c r="L62" s="204">
        <f t="shared" ref="L62:L69" si="19">J62*M62</f>
        <v>140000</v>
      </c>
      <c r="M62" s="205">
        <v>350000.0</v>
      </c>
      <c r="N62" s="310"/>
    </row>
    <row r="63" ht="27.75" customHeight="1">
      <c r="A63" s="255" t="s">
        <v>166</v>
      </c>
      <c r="B63" s="311" t="s">
        <v>200</v>
      </c>
      <c r="C63" s="309" t="s">
        <v>199</v>
      </c>
      <c r="D63" s="208">
        <v>2.0</v>
      </c>
      <c r="E63" s="208"/>
      <c r="F63" s="208">
        <v>0.0</v>
      </c>
      <c r="G63" s="208">
        <v>96.0</v>
      </c>
      <c r="H63" s="184"/>
      <c r="I63" s="201">
        <f>((G63*D63)+(G63*E63))/4</f>
        <v>48</v>
      </c>
      <c r="J63" s="117">
        <f t="shared" si="17"/>
        <v>0.06666666667</v>
      </c>
      <c r="K63" s="117">
        <f t="shared" si="18"/>
        <v>0.06666666667</v>
      </c>
      <c r="L63" s="204">
        <f t="shared" si="19"/>
        <v>12960</v>
      </c>
      <c r="M63" s="269">
        <v>194400.0</v>
      </c>
      <c r="N63" s="270"/>
    </row>
    <row r="64" ht="27.75" customHeight="1">
      <c r="A64" s="255" t="s">
        <v>170</v>
      </c>
      <c r="B64" s="312" t="s">
        <v>171</v>
      </c>
      <c r="C64" s="309" t="s">
        <v>199</v>
      </c>
      <c r="D64" s="208">
        <v>2.0</v>
      </c>
      <c r="E64" s="208"/>
      <c r="F64" s="208">
        <v>0.0</v>
      </c>
      <c r="G64" s="208">
        <v>144.0</v>
      </c>
      <c r="H64" s="184"/>
      <c r="I64" s="201">
        <f>(G64*D64)+(H64*F64)</f>
        <v>288</v>
      </c>
      <c r="J64" s="117">
        <f t="shared" si="17"/>
        <v>0.4</v>
      </c>
      <c r="K64" s="117">
        <f t="shared" si="18"/>
        <v>0.4</v>
      </c>
      <c r="L64" s="204">
        <f t="shared" si="19"/>
        <v>140000</v>
      </c>
      <c r="M64" s="205">
        <v>350000.0</v>
      </c>
      <c r="N64" s="310"/>
    </row>
    <row r="65" ht="44.25" customHeight="1">
      <c r="A65" s="255" t="s">
        <v>170</v>
      </c>
      <c r="B65" s="313" t="s">
        <v>201</v>
      </c>
      <c r="C65" s="309" t="s">
        <v>199</v>
      </c>
      <c r="D65" s="208">
        <v>2.0</v>
      </c>
      <c r="E65" s="208"/>
      <c r="F65" s="208">
        <v>0.0</v>
      </c>
      <c r="G65" s="208">
        <v>96.0</v>
      </c>
      <c r="H65" s="184"/>
      <c r="I65" s="201">
        <f>((G65*D65)+(G65*E65))/4</f>
        <v>48</v>
      </c>
      <c r="J65" s="117">
        <f t="shared" si="17"/>
        <v>0.06666666667</v>
      </c>
      <c r="K65" s="117">
        <f t="shared" si="18"/>
        <v>0.06666666667</v>
      </c>
      <c r="L65" s="204">
        <f t="shared" si="19"/>
        <v>12960</v>
      </c>
      <c r="M65" s="269">
        <v>194400.0</v>
      </c>
      <c r="N65" s="270"/>
    </row>
    <row r="66" ht="27.75" customHeight="1">
      <c r="A66" s="255" t="s">
        <v>172</v>
      </c>
      <c r="B66" s="314" t="s">
        <v>173</v>
      </c>
      <c r="C66" s="309" t="s">
        <v>199</v>
      </c>
      <c r="D66" s="208">
        <v>2.0</v>
      </c>
      <c r="E66" s="208"/>
      <c r="F66" s="208">
        <v>0.0</v>
      </c>
      <c r="G66" s="208">
        <v>144.0</v>
      </c>
      <c r="H66" s="184"/>
      <c r="I66" s="201">
        <f>(G66*D66)+(H66*F66)</f>
        <v>288</v>
      </c>
      <c r="J66" s="117">
        <f t="shared" si="17"/>
        <v>0.4</v>
      </c>
      <c r="K66" s="117">
        <f t="shared" si="18"/>
        <v>0.4</v>
      </c>
      <c r="L66" s="204">
        <f t="shared" si="19"/>
        <v>140000</v>
      </c>
      <c r="M66" s="205">
        <v>350000.0</v>
      </c>
      <c r="N66" s="310"/>
    </row>
    <row r="67" ht="27.75" customHeight="1">
      <c r="A67" s="255" t="s">
        <v>172</v>
      </c>
      <c r="B67" s="311" t="s">
        <v>202</v>
      </c>
      <c r="C67" s="309" t="s">
        <v>199</v>
      </c>
      <c r="D67" s="208">
        <v>2.0</v>
      </c>
      <c r="E67" s="208"/>
      <c r="F67" s="208">
        <v>0.0</v>
      </c>
      <c r="G67" s="208">
        <v>72.0</v>
      </c>
      <c r="H67" s="184"/>
      <c r="I67" s="201">
        <f>((G67*D67)+(G67*E67))/4</f>
        <v>36</v>
      </c>
      <c r="J67" s="117">
        <f t="shared" si="17"/>
        <v>0.05</v>
      </c>
      <c r="K67" s="117">
        <f t="shared" si="18"/>
        <v>0.05</v>
      </c>
      <c r="L67" s="204">
        <f t="shared" si="19"/>
        <v>9720</v>
      </c>
      <c r="M67" s="269">
        <v>194400.0</v>
      </c>
      <c r="N67" s="270"/>
    </row>
    <row r="68" ht="12.75" customHeight="1">
      <c r="A68" s="100"/>
      <c r="B68" s="211" t="s">
        <v>174</v>
      </c>
      <c r="C68" s="49"/>
      <c r="D68" s="208">
        <v>2.0</v>
      </c>
      <c r="E68" s="208"/>
      <c r="F68" s="208">
        <v>0.0</v>
      </c>
      <c r="G68" s="208">
        <v>12.0</v>
      </c>
      <c r="H68" s="184"/>
      <c r="I68" s="201">
        <f t="shared" ref="I68:I69" si="20">(G68*D68)+(H68*F68)</f>
        <v>24</v>
      </c>
      <c r="J68" s="117">
        <f t="shared" si="17"/>
        <v>0.03333333333</v>
      </c>
      <c r="K68" s="117">
        <f t="shared" si="18"/>
        <v>0.03333333333</v>
      </c>
      <c r="L68" s="204">
        <f t="shared" si="19"/>
        <v>6480</v>
      </c>
      <c r="M68" s="269">
        <v>194400.0</v>
      </c>
      <c r="N68" s="310"/>
    </row>
    <row r="69" ht="12.75" customHeight="1">
      <c r="A69" s="100"/>
      <c r="B69" s="211" t="s">
        <v>175</v>
      </c>
      <c r="C69" s="49"/>
      <c r="D69" s="208">
        <v>2.0</v>
      </c>
      <c r="E69" s="208"/>
      <c r="F69" s="208">
        <v>0.0</v>
      </c>
      <c r="G69" s="208">
        <v>48.0</v>
      </c>
      <c r="H69" s="184"/>
      <c r="I69" s="201">
        <f t="shared" si="20"/>
        <v>96</v>
      </c>
      <c r="J69" s="117">
        <f t="shared" si="17"/>
        <v>0.1333333333</v>
      </c>
      <c r="K69" s="117">
        <f t="shared" si="18"/>
        <v>0.1333333333</v>
      </c>
      <c r="L69" s="204">
        <f t="shared" si="19"/>
        <v>25920</v>
      </c>
      <c r="M69" s="269">
        <v>194400.0</v>
      </c>
      <c r="N69" s="310"/>
    </row>
    <row r="70" ht="13.5" customHeight="1">
      <c r="A70" s="315"/>
      <c r="B70" s="316" t="s">
        <v>203</v>
      </c>
      <c r="C70" s="317"/>
      <c r="D70" s="318">
        <f>SUM(D62:D69)</f>
        <v>16</v>
      </c>
      <c r="E70" s="318"/>
      <c r="F70" s="318">
        <f t="shared" ref="F70:M70" si="21">SUM(F62:F69)</f>
        <v>0</v>
      </c>
      <c r="G70" s="318">
        <f t="shared" si="21"/>
        <v>756</v>
      </c>
      <c r="H70" s="318">
        <f t="shared" si="21"/>
        <v>0</v>
      </c>
      <c r="I70" s="319">
        <f t="shared" si="21"/>
        <v>1116</v>
      </c>
      <c r="J70" s="320">
        <f t="shared" si="21"/>
        <v>1.55</v>
      </c>
      <c r="K70" s="320">
        <f t="shared" si="21"/>
        <v>1.55</v>
      </c>
      <c r="L70" s="319">
        <f t="shared" si="21"/>
        <v>488040</v>
      </c>
      <c r="M70" s="318">
        <f t="shared" si="21"/>
        <v>2022000</v>
      </c>
      <c r="N70" s="270"/>
    </row>
    <row r="71" ht="13.5" customHeight="1">
      <c r="A71" s="321"/>
      <c r="B71" s="322" t="s">
        <v>204</v>
      </c>
      <c r="C71" s="323"/>
      <c r="D71" s="324"/>
      <c r="E71" s="325"/>
      <c r="F71" s="325"/>
      <c r="G71" s="325"/>
      <c r="H71" s="325"/>
      <c r="I71" s="326"/>
      <c r="J71" s="327"/>
      <c r="K71" s="327"/>
      <c r="L71" s="326"/>
      <c r="M71" s="325"/>
      <c r="N71" s="310"/>
    </row>
    <row r="72" ht="18.0" customHeight="1">
      <c r="A72" s="255" t="s">
        <v>166</v>
      </c>
      <c r="B72" s="308" t="s">
        <v>167</v>
      </c>
      <c r="C72" s="328" t="s">
        <v>199</v>
      </c>
      <c r="D72" s="208">
        <v>1.0</v>
      </c>
      <c r="E72" s="208"/>
      <c r="F72" s="208">
        <v>1.0</v>
      </c>
      <c r="G72" s="208">
        <v>144.0</v>
      </c>
      <c r="H72" s="184"/>
      <c r="I72" s="201">
        <f>(G72*D72)+(H72*F72)</f>
        <v>144</v>
      </c>
      <c r="J72" s="117">
        <f t="shared" ref="J72:J80" si="22">I72/720</f>
        <v>0.2</v>
      </c>
      <c r="K72" s="117">
        <f t="shared" ref="K72:K80" si="23">J72</f>
        <v>0.2</v>
      </c>
      <c r="L72" s="204">
        <f t="shared" ref="L72:L80" si="24">J72*M72</f>
        <v>70000</v>
      </c>
      <c r="M72" s="205">
        <v>350000.0</v>
      </c>
      <c r="N72" s="310"/>
    </row>
    <row r="73" ht="26.25" customHeight="1">
      <c r="A73" s="255" t="s">
        <v>166</v>
      </c>
      <c r="B73" s="311" t="s">
        <v>200</v>
      </c>
      <c r="C73" s="328" t="s">
        <v>199</v>
      </c>
      <c r="D73" s="208">
        <v>1.0</v>
      </c>
      <c r="E73" s="208"/>
      <c r="F73" s="208"/>
      <c r="G73" s="208">
        <v>96.0</v>
      </c>
      <c r="H73" s="184"/>
      <c r="I73" s="201">
        <f>((G73*D73)+(G73*E73))/4</f>
        <v>24</v>
      </c>
      <c r="J73" s="117">
        <f t="shared" si="22"/>
        <v>0.03333333333</v>
      </c>
      <c r="K73" s="117">
        <f t="shared" si="23"/>
        <v>0.03333333333</v>
      </c>
      <c r="L73" s="204">
        <f t="shared" si="24"/>
        <v>6480</v>
      </c>
      <c r="M73" s="269">
        <v>194400.0</v>
      </c>
      <c r="N73" s="270"/>
    </row>
    <row r="74" ht="27.75" customHeight="1">
      <c r="A74" s="255" t="s">
        <v>168</v>
      </c>
      <c r="B74" s="314" t="s">
        <v>169</v>
      </c>
      <c r="C74" s="328" t="s">
        <v>199</v>
      </c>
      <c r="D74" s="208"/>
      <c r="E74" s="208"/>
      <c r="F74" s="208">
        <v>1.0</v>
      </c>
      <c r="G74" s="208">
        <v>0.0</v>
      </c>
      <c r="H74" s="208">
        <v>15.0</v>
      </c>
      <c r="I74" s="201">
        <f t="shared" ref="I74:I75" si="25">(G74*D74)+(H74*F74)</f>
        <v>15</v>
      </c>
      <c r="J74" s="117">
        <f t="shared" si="22"/>
        <v>0.02083333333</v>
      </c>
      <c r="K74" s="117">
        <f t="shared" si="23"/>
        <v>0.02083333333</v>
      </c>
      <c r="L74" s="204">
        <f t="shared" si="24"/>
        <v>7291.666667</v>
      </c>
      <c r="M74" s="205">
        <v>350000.0</v>
      </c>
      <c r="N74" s="310"/>
    </row>
    <row r="75" ht="30.0" customHeight="1">
      <c r="A75" s="255" t="s">
        <v>170</v>
      </c>
      <c r="B75" s="312" t="s">
        <v>171</v>
      </c>
      <c r="C75" s="328" t="s">
        <v>199</v>
      </c>
      <c r="D75" s="208">
        <v>1.0</v>
      </c>
      <c r="E75" s="208"/>
      <c r="F75" s="208">
        <v>1.0</v>
      </c>
      <c r="G75" s="208">
        <v>144.0</v>
      </c>
      <c r="H75" s="208">
        <v>84.0</v>
      </c>
      <c r="I75" s="201">
        <f t="shared" si="25"/>
        <v>228</v>
      </c>
      <c r="J75" s="117">
        <f t="shared" si="22"/>
        <v>0.3166666667</v>
      </c>
      <c r="K75" s="117">
        <f t="shared" si="23"/>
        <v>0.3166666667</v>
      </c>
      <c r="L75" s="204">
        <f t="shared" si="24"/>
        <v>110833.3333</v>
      </c>
      <c r="M75" s="205">
        <v>350000.0</v>
      </c>
      <c r="N75" s="310"/>
    </row>
    <row r="76" ht="44.25" customHeight="1">
      <c r="A76" s="255" t="s">
        <v>170</v>
      </c>
      <c r="B76" s="313" t="s">
        <v>201</v>
      </c>
      <c r="C76" s="328" t="s">
        <v>199</v>
      </c>
      <c r="D76" s="208">
        <v>1.0</v>
      </c>
      <c r="E76" s="208"/>
      <c r="F76" s="208"/>
      <c r="G76" s="208">
        <v>96.0</v>
      </c>
      <c r="H76" s="208"/>
      <c r="I76" s="201">
        <f>((G76*D76)+(G76*E76))/4</f>
        <v>24</v>
      </c>
      <c r="J76" s="117">
        <f t="shared" si="22"/>
        <v>0.03333333333</v>
      </c>
      <c r="K76" s="117">
        <f t="shared" si="23"/>
        <v>0.03333333333</v>
      </c>
      <c r="L76" s="204">
        <f t="shared" si="24"/>
        <v>6480</v>
      </c>
      <c r="M76" s="269">
        <v>194400.0</v>
      </c>
      <c r="N76" s="270"/>
    </row>
    <row r="77" ht="18.0" customHeight="1">
      <c r="A77" s="255" t="s">
        <v>172</v>
      </c>
      <c r="B77" s="314" t="s">
        <v>173</v>
      </c>
      <c r="C77" s="328" t="s">
        <v>199</v>
      </c>
      <c r="D77" s="208">
        <v>1.0</v>
      </c>
      <c r="E77" s="208"/>
      <c r="F77" s="208">
        <v>1.0</v>
      </c>
      <c r="G77" s="208">
        <v>144.0</v>
      </c>
      <c r="H77" s="208">
        <v>84.0</v>
      </c>
      <c r="I77" s="201">
        <f>(G77*D77)+(H77*F77)</f>
        <v>228</v>
      </c>
      <c r="J77" s="117">
        <f t="shared" si="22"/>
        <v>0.3166666667</v>
      </c>
      <c r="K77" s="117">
        <f t="shared" si="23"/>
        <v>0.3166666667</v>
      </c>
      <c r="L77" s="204">
        <f t="shared" si="24"/>
        <v>110833.3333</v>
      </c>
      <c r="M77" s="205">
        <v>350000.0</v>
      </c>
      <c r="N77" s="310"/>
    </row>
    <row r="78" ht="26.25" customHeight="1">
      <c r="A78" s="255" t="s">
        <v>172</v>
      </c>
      <c r="B78" s="311" t="s">
        <v>202</v>
      </c>
      <c r="C78" s="329"/>
      <c r="D78" s="208">
        <v>1.0</v>
      </c>
      <c r="E78" s="208"/>
      <c r="F78" s="208"/>
      <c r="G78" s="208">
        <v>72.0</v>
      </c>
      <c r="H78" s="208"/>
      <c r="I78" s="201">
        <f>((G78*D78)+(G78*E78))/4</f>
        <v>18</v>
      </c>
      <c r="J78" s="117">
        <f t="shared" si="22"/>
        <v>0.025</v>
      </c>
      <c r="K78" s="117">
        <f t="shared" si="23"/>
        <v>0.025</v>
      </c>
      <c r="L78" s="204">
        <f t="shared" si="24"/>
        <v>4860</v>
      </c>
      <c r="M78" s="269">
        <v>194400.0</v>
      </c>
      <c r="N78" s="270"/>
    </row>
    <row r="79" ht="18.0" customHeight="1">
      <c r="A79" s="321"/>
      <c r="B79" s="211" t="s">
        <v>174</v>
      </c>
      <c r="C79" s="301"/>
      <c r="D79" s="208">
        <v>1.0</v>
      </c>
      <c r="E79" s="208"/>
      <c r="F79" s="208">
        <v>1.0</v>
      </c>
      <c r="G79" s="208">
        <v>12.0</v>
      </c>
      <c r="H79" s="208">
        <v>12.0</v>
      </c>
      <c r="I79" s="201">
        <f t="shared" ref="I79:I80" si="26">(G79*D79)+(H79*F79)</f>
        <v>24</v>
      </c>
      <c r="J79" s="117">
        <f t="shared" si="22"/>
        <v>0.03333333333</v>
      </c>
      <c r="K79" s="117">
        <f t="shared" si="23"/>
        <v>0.03333333333</v>
      </c>
      <c r="L79" s="204">
        <f t="shared" si="24"/>
        <v>6480</v>
      </c>
      <c r="M79" s="269">
        <v>194400.0</v>
      </c>
      <c r="N79" s="310"/>
    </row>
    <row r="80" ht="18.0" customHeight="1">
      <c r="A80" s="321"/>
      <c r="B80" s="211" t="s">
        <v>175</v>
      </c>
      <c r="C80" s="301"/>
      <c r="D80" s="208">
        <v>1.0</v>
      </c>
      <c r="E80" s="208"/>
      <c r="F80" s="208">
        <v>1.0</v>
      </c>
      <c r="G80" s="208">
        <v>48.0</v>
      </c>
      <c r="H80" s="208">
        <v>12.0</v>
      </c>
      <c r="I80" s="201">
        <f t="shared" si="26"/>
        <v>60</v>
      </c>
      <c r="J80" s="117">
        <f t="shared" si="22"/>
        <v>0.08333333333</v>
      </c>
      <c r="K80" s="117">
        <f t="shared" si="23"/>
        <v>0.08333333333</v>
      </c>
      <c r="L80" s="204">
        <f t="shared" si="24"/>
        <v>16200</v>
      </c>
      <c r="M80" s="269">
        <v>194400.0</v>
      </c>
      <c r="N80" s="310"/>
    </row>
    <row r="81" ht="18.75" customHeight="1">
      <c r="A81" s="315"/>
      <c r="B81" s="330" t="s">
        <v>203</v>
      </c>
      <c r="C81" s="317"/>
      <c r="D81" s="318">
        <f>SUM(D72:D80)</f>
        <v>8</v>
      </c>
      <c r="E81" s="318"/>
      <c r="F81" s="318">
        <f t="shared" ref="F81:M81" si="27">SUM(F72:F80)</f>
        <v>6</v>
      </c>
      <c r="G81" s="318">
        <f t="shared" si="27"/>
        <v>756</v>
      </c>
      <c r="H81" s="318">
        <f t="shared" si="27"/>
        <v>207</v>
      </c>
      <c r="I81" s="319">
        <f t="shared" si="27"/>
        <v>765</v>
      </c>
      <c r="J81" s="320">
        <f t="shared" si="27"/>
        <v>1.0625</v>
      </c>
      <c r="K81" s="320">
        <f t="shared" si="27"/>
        <v>1.0625</v>
      </c>
      <c r="L81" s="319">
        <f t="shared" si="27"/>
        <v>339458.3333</v>
      </c>
      <c r="M81" s="318">
        <f t="shared" si="27"/>
        <v>2372000</v>
      </c>
      <c r="N81" s="270"/>
    </row>
    <row r="82" ht="15.75" customHeight="1">
      <c r="A82" s="321"/>
      <c r="B82" s="322" t="s">
        <v>205</v>
      </c>
      <c r="C82" s="323"/>
      <c r="D82" s="324"/>
      <c r="E82" s="325"/>
      <c r="F82" s="325"/>
      <c r="G82" s="325"/>
      <c r="H82" s="325"/>
      <c r="I82" s="326"/>
      <c r="J82" s="327"/>
      <c r="K82" s="327"/>
      <c r="L82" s="326"/>
      <c r="M82" s="325"/>
      <c r="N82" s="310"/>
    </row>
    <row r="83" ht="30.0" customHeight="1">
      <c r="A83" s="255" t="s">
        <v>162</v>
      </c>
      <c r="B83" s="314" t="s">
        <v>163</v>
      </c>
      <c r="C83" s="208" t="s">
        <v>199</v>
      </c>
      <c r="D83" s="208">
        <v>4.0</v>
      </c>
      <c r="E83" s="208"/>
      <c r="F83" s="208"/>
      <c r="G83" s="208">
        <v>48.0</v>
      </c>
      <c r="H83" s="184"/>
      <c r="I83" s="201">
        <f>(G83*D83)+(H83*F83)</f>
        <v>192</v>
      </c>
      <c r="J83" s="117">
        <f t="shared" ref="J83:J91" si="28">I83/720</f>
        <v>0.2666666667</v>
      </c>
      <c r="K83" s="117">
        <f t="shared" ref="K83:K91" si="29">J83</f>
        <v>0.2666666667</v>
      </c>
      <c r="L83" s="204">
        <f t="shared" ref="L83:L91" si="30">J83*M83</f>
        <v>93333.33333</v>
      </c>
      <c r="M83" s="205">
        <v>350000.0</v>
      </c>
      <c r="N83" s="310"/>
    </row>
    <row r="84" ht="30.0" customHeight="1">
      <c r="A84" s="331" t="s">
        <v>162</v>
      </c>
      <c r="B84" s="311" t="s">
        <v>206</v>
      </c>
      <c r="C84" s="208" t="s">
        <v>199</v>
      </c>
      <c r="D84" s="208">
        <v>4.0</v>
      </c>
      <c r="E84" s="208"/>
      <c r="F84" s="208"/>
      <c r="G84" s="208">
        <v>120.0</v>
      </c>
      <c r="H84" s="184"/>
      <c r="I84" s="201">
        <f>((G84*D84)+(G84*E84))/4</f>
        <v>120</v>
      </c>
      <c r="J84" s="117">
        <f t="shared" si="28"/>
        <v>0.1666666667</v>
      </c>
      <c r="K84" s="117">
        <f t="shared" si="29"/>
        <v>0.1666666667</v>
      </c>
      <c r="L84" s="204">
        <f t="shared" si="30"/>
        <v>32400</v>
      </c>
      <c r="M84" s="269">
        <v>194400.0</v>
      </c>
      <c r="N84" s="270"/>
    </row>
    <row r="85" ht="16.5" customHeight="1">
      <c r="A85" s="255" t="s">
        <v>164</v>
      </c>
      <c r="B85" s="308" t="s">
        <v>165</v>
      </c>
      <c r="C85" s="208" t="s">
        <v>199</v>
      </c>
      <c r="D85" s="208">
        <v>4.0</v>
      </c>
      <c r="E85" s="208"/>
      <c r="F85" s="208"/>
      <c r="G85" s="208">
        <v>192.0</v>
      </c>
      <c r="H85" s="184"/>
      <c r="I85" s="201">
        <f>(G85*D85)+(H85*F85)</f>
        <v>768</v>
      </c>
      <c r="J85" s="117">
        <f t="shared" si="28"/>
        <v>1.066666667</v>
      </c>
      <c r="K85" s="117">
        <f t="shared" si="29"/>
        <v>1.066666667</v>
      </c>
      <c r="L85" s="204">
        <f t="shared" si="30"/>
        <v>373333.3333</v>
      </c>
      <c r="M85" s="205">
        <v>350000.0</v>
      </c>
      <c r="N85" s="310"/>
    </row>
    <row r="86" ht="26.25" customHeight="1">
      <c r="A86" s="331" t="s">
        <v>164</v>
      </c>
      <c r="B86" s="313" t="s">
        <v>207</v>
      </c>
      <c r="C86" s="208" t="s">
        <v>199</v>
      </c>
      <c r="D86" s="208">
        <v>4.0</v>
      </c>
      <c r="E86" s="208"/>
      <c r="F86" s="208"/>
      <c r="G86" s="208">
        <v>192.0</v>
      </c>
      <c r="H86" s="184"/>
      <c r="I86" s="201">
        <f>((G86*D86)+(G86*E86))/4</f>
        <v>192</v>
      </c>
      <c r="J86" s="117">
        <f t="shared" si="28"/>
        <v>0.2666666667</v>
      </c>
      <c r="K86" s="117">
        <f t="shared" si="29"/>
        <v>0.2666666667</v>
      </c>
      <c r="L86" s="204">
        <f t="shared" si="30"/>
        <v>51840</v>
      </c>
      <c r="M86" s="269">
        <v>194400.0</v>
      </c>
      <c r="N86" s="270"/>
    </row>
    <row r="87" ht="15.75" customHeight="1">
      <c r="A87" s="255" t="s">
        <v>166</v>
      </c>
      <c r="B87" s="308" t="s">
        <v>167</v>
      </c>
      <c r="C87" s="208" t="s">
        <v>199</v>
      </c>
      <c r="D87" s="208">
        <v>4.0</v>
      </c>
      <c r="E87" s="208"/>
      <c r="F87" s="208"/>
      <c r="G87" s="208">
        <v>240.0</v>
      </c>
      <c r="H87" s="184"/>
      <c r="I87" s="201">
        <f>(G87*D87)+(H87*F87)</f>
        <v>960</v>
      </c>
      <c r="J87" s="117">
        <f t="shared" si="28"/>
        <v>1.333333333</v>
      </c>
      <c r="K87" s="117">
        <f t="shared" si="29"/>
        <v>1.333333333</v>
      </c>
      <c r="L87" s="204">
        <f t="shared" si="30"/>
        <v>466666.6667</v>
      </c>
      <c r="M87" s="205">
        <v>350000.0</v>
      </c>
      <c r="N87" s="310"/>
    </row>
    <row r="88" ht="31.5" customHeight="1">
      <c r="A88" s="331" t="s">
        <v>166</v>
      </c>
      <c r="B88" s="313" t="s">
        <v>200</v>
      </c>
      <c r="C88" s="208" t="s">
        <v>199</v>
      </c>
      <c r="D88" s="208">
        <v>4.0</v>
      </c>
      <c r="E88" s="208"/>
      <c r="F88" s="208"/>
      <c r="G88" s="208">
        <v>192.0</v>
      </c>
      <c r="H88" s="184"/>
      <c r="I88" s="201">
        <f>((G88*D88)+(G88*E88))/4</f>
        <v>192</v>
      </c>
      <c r="J88" s="117">
        <f t="shared" si="28"/>
        <v>0.2666666667</v>
      </c>
      <c r="K88" s="117">
        <f t="shared" si="29"/>
        <v>0.2666666667</v>
      </c>
      <c r="L88" s="204">
        <f t="shared" si="30"/>
        <v>51840</v>
      </c>
      <c r="M88" s="269">
        <v>194400.0</v>
      </c>
      <c r="N88" s="270"/>
    </row>
    <row r="89" ht="27.0" customHeight="1">
      <c r="A89" s="255" t="s">
        <v>168</v>
      </c>
      <c r="B89" s="314" t="s">
        <v>169</v>
      </c>
      <c r="C89" s="208" t="s">
        <v>199</v>
      </c>
      <c r="D89" s="208">
        <v>4.0</v>
      </c>
      <c r="E89" s="208"/>
      <c r="F89" s="208">
        <v>1.0</v>
      </c>
      <c r="G89" s="208">
        <v>240.0</v>
      </c>
      <c r="H89" s="208">
        <v>15.0</v>
      </c>
      <c r="I89" s="201">
        <f>(G89*D89)+(H89*F89)</f>
        <v>975</v>
      </c>
      <c r="J89" s="117">
        <f t="shared" si="28"/>
        <v>1.354166667</v>
      </c>
      <c r="K89" s="117">
        <f t="shared" si="29"/>
        <v>1.354166667</v>
      </c>
      <c r="L89" s="204">
        <f t="shared" si="30"/>
        <v>473958.3333</v>
      </c>
      <c r="M89" s="205">
        <v>350000.0</v>
      </c>
      <c r="N89" s="310"/>
    </row>
    <row r="90" ht="27.0" customHeight="1">
      <c r="A90" s="331" t="s">
        <v>168</v>
      </c>
      <c r="B90" s="311" t="s">
        <v>208</v>
      </c>
      <c r="C90" s="208" t="s">
        <v>199</v>
      </c>
      <c r="D90" s="208">
        <v>4.0</v>
      </c>
      <c r="E90" s="208"/>
      <c r="F90" s="208"/>
      <c r="G90" s="208">
        <v>180.0</v>
      </c>
      <c r="H90" s="208"/>
      <c r="I90" s="201">
        <f>((G90*D90)+(G90*E90))/4</f>
        <v>180</v>
      </c>
      <c r="J90" s="117">
        <f t="shared" si="28"/>
        <v>0.25</v>
      </c>
      <c r="K90" s="117">
        <f t="shared" si="29"/>
        <v>0.25</v>
      </c>
      <c r="L90" s="204">
        <f t="shared" si="30"/>
        <v>48600</v>
      </c>
      <c r="M90" s="269">
        <v>194400.0</v>
      </c>
      <c r="N90" s="270"/>
    </row>
    <row r="91" ht="15.75" customHeight="1">
      <c r="A91" s="321"/>
      <c r="B91" s="211" t="s">
        <v>174</v>
      </c>
      <c r="C91" s="332"/>
      <c r="D91" s="208">
        <v>4.0</v>
      </c>
      <c r="E91" s="208"/>
      <c r="F91" s="208">
        <v>1.0</v>
      </c>
      <c r="G91" s="208">
        <v>12.0</v>
      </c>
      <c r="H91" s="208">
        <v>12.0</v>
      </c>
      <c r="I91" s="201">
        <f>(G91*D91)+(H91*F91)</f>
        <v>60</v>
      </c>
      <c r="J91" s="117">
        <f t="shared" si="28"/>
        <v>0.08333333333</v>
      </c>
      <c r="K91" s="117">
        <f t="shared" si="29"/>
        <v>0.08333333333</v>
      </c>
      <c r="L91" s="204">
        <f t="shared" si="30"/>
        <v>16200</v>
      </c>
      <c r="M91" s="269">
        <v>194400.0</v>
      </c>
      <c r="N91" s="310"/>
    </row>
    <row r="92" ht="15.75" customHeight="1">
      <c r="A92" s="315"/>
      <c r="B92" s="330" t="s">
        <v>177</v>
      </c>
      <c r="C92" s="317"/>
      <c r="D92" s="318">
        <f>SUM(D83:D91)</f>
        <v>36</v>
      </c>
      <c r="E92" s="318"/>
      <c r="F92" s="318">
        <f t="shared" ref="F92:M92" si="31">SUM(F83:F91)</f>
        <v>2</v>
      </c>
      <c r="G92" s="318">
        <f t="shared" si="31"/>
        <v>1416</v>
      </c>
      <c r="H92" s="318">
        <f t="shared" si="31"/>
        <v>27</v>
      </c>
      <c r="I92" s="319">
        <f t="shared" si="31"/>
        <v>3639</v>
      </c>
      <c r="J92" s="320">
        <f t="shared" si="31"/>
        <v>5.054166667</v>
      </c>
      <c r="K92" s="320">
        <f t="shared" si="31"/>
        <v>5.054166667</v>
      </c>
      <c r="L92" s="319">
        <f t="shared" si="31"/>
        <v>1608171.667</v>
      </c>
      <c r="M92" s="318">
        <f t="shared" si="31"/>
        <v>2372000</v>
      </c>
      <c r="N92" s="270"/>
    </row>
    <row r="93" ht="15.75" customHeight="1">
      <c r="A93" s="321"/>
      <c r="B93" s="322" t="s">
        <v>209</v>
      </c>
      <c r="C93" s="323"/>
      <c r="D93" s="324"/>
      <c r="E93" s="325"/>
      <c r="F93" s="325"/>
      <c r="G93" s="325"/>
      <c r="H93" s="325"/>
      <c r="I93" s="326"/>
      <c r="J93" s="327"/>
      <c r="K93" s="327"/>
      <c r="L93" s="326"/>
      <c r="M93" s="325"/>
      <c r="N93" s="310"/>
    </row>
    <row r="94" ht="27.75" customHeight="1">
      <c r="A94" s="255" t="s">
        <v>162</v>
      </c>
      <c r="B94" s="314" t="s">
        <v>163</v>
      </c>
      <c r="C94" s="328" t="s">
        <v>210</v>
      </c>
      <c r="D94" s="208">
        <v>1.0</v>
      </c>
      <c r="E94" s="208"/>
      <c r="F94" s="208"/>
      <c r="G94" s="208">
        <v>48.0</v>
      </c>
      <c r="H94" s="184"/>
      <c r="I94" s="201">
        <f>(G94*D94)+(H94*F94)</f>
        <v>48</v>
      </c>
      <c r="J94" s="117">
        <f t="shared" ref="J94:J102" si="32">I94/720</f>
        <v>0.06666666667</v>
      </c>
      <c r="K94" s="117">
        <f t="shared" ref="K94:K102" si="33">J94</f>
        <v>0.06666666667</v>
      </c>
      <c r="L94" s="204">
        <f t="shared" ref="L94:L102" si="34">J94*M94</f>
        <v>23333.33333</v>
      </c>
      <c r="M94" s="205">
        <v>350000.0</v>
      </c>
      <c r="N94" s="310"/>
    </row>
    <row r="95" ht="27.75" customHeight="1">
      <c r="A95" s="255" t="s">
        <v>162</v>
      </c>
      <c r="B95" s="311" t="s">
        <v>206</v>
      </c>
      <c r="C95" s="328" t="s">
        <v>210</v>
      </c>
      <c r="D95" s="208">
        <v>1.0</v>
      </c>
      <c r="E95" s="208"/>
      <c r="F95" s="208"/>
      <c r="G95" s="208">
        <v>120.0</v>
      </c>
      <c r="H95" s="184"/>
      <c r="I95" s="201">
        <f>((G95*D95)+(G95*E95))/4</f>
        <v>30</v>
      </c>
      <c r="J95" s="117">
        <f t="shared" si="32"/>
        <v>0.04166666667</v>
      </c>
      <c r="K95" s="117">
        <f t="shared" si="33"/>
        <v>0.04166666667</v>
      </c>
      <c r="L95" s="204">
        <f t="shared" si="34"/>
        <v>8100</v>
      </c>
      <c r="M95" s="269">
        <v>194400.0</v>
      </c>
      <c r="N95" s="270"/>
    </row>
    <row r="96" ht="15.75" customHeight="1">
      <c r="A96" s="255" t="s">
        <v>164</v>
      </c>
      <c r="B96" s="308" t="s">
        <v>165</v>
      </c>
      <c r="C96" s="328" t="s">
        <v>210</v>
      </c>
      <c r="D96" s="208">
        <v>1.0</v>
      </c>
      <c r="E96" s="208"/>
      <c r="F96" s="208"/>
      <c r="G96" s="208">
        <v>168.0</v>
      </c>
      <c r="H96" s="184"/>
      <c r="I96" s="201">
        <f>(G96*D96)+(H96*F96)</f>
        <v>168</v>
      </c>
      <c r="J96" s="117">
        <f t="shared" si="32"/>
        <v>0.2333333333</v>
      </c>
      <c r="K96" s="117">
        <f t="shared" si="33"/>
        <v>0.2333333333</v>
      </c>
      <c r="L96" s="204">
        <f t="shared" si="34"/>
        <v>81666.66667</v>
      </c>
      <c r="M96" s="205">
        <v>350000.0</v>
      </c>
      <c r="N96" s="310"/>
    </row>
    <row r="97" ht="27.0" customHeight="1">
      <c r="A97" s="255" t="s">
        <v>164</v>
      </c>
      <c r="B97" s="311" t="s">
        <v>207</v>
      </c>
      <c r="C97" s="328" t="s">
        <v>210</v>
      </c>
      <c r="D97" s="208">
        <v>1.0</v>
      </c>
      <c r="E97" s="208"/>
      <c r="F97" s="208"/>
      <c r="G97" s="208">
        <v>192.0</v>
      </c>
      <c r="H97" s="184"/>
      <c r="I97" s="201">
        <f>((G97*D97)+(G97*E97))/4</f>
        <v>48</v>
      </c>
      <c r="J97" s="117">
        <f t="shared" si="32"/>
        <v>0.06666666667</v>
      </c>
      <c r="K97" s="117">
        <f t="shared" si="33"/>
        <v>0.06666666667</v>
      </c>
      <c r="L97" s="204">
        <f t="shared" si="34"/>
        <v>12960</v>
      </c>
      <c r="M97" s="269">
        <v>194400.0</v>
      </c>
      <c r="N97" s="270"/>
    </row>
    <row r="98" ht="15.75" customHeight="1">
      <c r="A98" s="255" t="s">
        <v>166</v>
      </c>
      <c r="B98" s="308" t="s">
        <v>167</v>
      </c>
      <c r="C98" s="328" t="s">
        <v>210</v>
      </c>
      <c r="D98" s="208">
        <v>1.0</v>
      </c>
      <c r="E98" s="208"/>
      <c r="F98" s="208"/>
      <c r="G98" s="208">
        <v>240.0</v>
      </c>
      <c r="H98" s="184"/>
      <c r="I98" s="201">
        <f>(G98*D98)+(H98*F98)</f>
        <v>240</v>
      </c>
      <c r="J98" s="117">
        <f t="shared" si="32"/>
        <v>0.3333333333</v>
      </c>
      <c r="K98" s="117">
        <f t="shared" si="33"/>
        <v>0.3333333333</v>
      </c>
      <c r="L98" s="204">
        <f t="shared" si="34"/>
        <v>116666.6667</v>
      </c>
      <c r="M98" s="205">
        <v>350000.0</v>
      </c>
      <c r="N98" s="310"/>
    </row>
    <row r="99" ht="29.25" customHeight="1">
      <c r="A99" s="255" t="s">
        <v>166</v>
      </c>
      <c r="B99" s="313" t="s">
        <v>200</v>
      </c>
      <c r="C99" s="328" t="s">
        <v>210</v>
      </c>
      <c r="D99" s="208">
        <v>1.0</v>
      </c>
      <c r="E99" s="208"/>
      <c r="F99" s="208"/>
      <c r="G99" s="208">
        <v>192.0</v>
      </c>
      <c r="H99" s="184"/>
      <c r="I99" s="201">
        <f>((G99*D99)+(G99*E99))/4</f>
        <v>48</v>
      </c>
      <c r="J99" s="117">
        <f t="shared" si="32"/>
        <v>0.06666666667</v>
      </c>
      <c r="K99" s="117">
        <f t="shared" si="33"/>
        <v>0.06666666667</v>
      </c>
      <c r="L99" s="204">
        <f t="shared" si="34"/>
        <v>12960</v>
      </c>
      <c r="M99" s="269">
        <v>194400.0</v>
      </c>
      <c r="N99" s="270"/>
    </row>
    <row r="100" ht="15.75" customHeight="1">
      <c r="A100" s="255" t="s">
        <v>168</v>
      </c>
      <c r="B100" s="314" t="s">
        <v>169</v>
      </c>
      <c r="C100" s="328" t="s">
        <v>210</v>
      </c>
      <c r="D100" s="208">
        <v>1.0</v>
      </c>
      <c r="E100" s="208"/>
      <c r="F100" s="208"/>
      <c r="G100" s="208">
        <v>240.0</v>
      </c>
      <c r="H100" s="208"/>
      <c r="I100" s="201">
        <f>(G100*D100)+(H100*F100)</f>
        <v>240</v>
      </c>
      <c r="J100" s="117">
        <f t="shared" si="32"/>
        <v>0.3333333333</v>
      </c>
      <c r="K100" s="117">
        <f t="shared" si="33"/>
        <v>0.3333333333</v>
      </c>
      <c r="L100" s="204">
        <f t="shared" si="34"/>
        <v>116666.6667</v>
      </c>
      <c r="M100" s="205">
        <v>350000.0</v>
      </c>
      <c r="N100" s="310"/>
    </row>
    <row r="101" ht="29.25" customHeight="1">
      <c r="A101" s="255" t="s">
        <v>168</v>
      </c>
      <c r="B101" s="313" t="s">
        <v>208</v>
      </c>
      <c r="C101" s="328" t="s">
        <v>210</v>
      </c>
      <c r="D101" s="208">
        <v>1.0</v>
      </c>
      <c r="E101" s="208"/>
      <c r="F101" s="208"/>
      <c r="G101" s="208">
        <v>108.0</v>
      </c>
      <c r="H101" s="208"/>
      <c r="I101" s="201">
        <f>((G101*D101)+(G101*E101))/4</f>
        <v>27</v>
      </c>
      <c r="J101" s="117">
        <f t="shared" si="32"/>
        <v>0.0375</v>
      </c>
      <c r="K101" s="117">
        <f t="shared" si="33"/>
        <v>0.0375</v>
      </c>
      <c r="L101" s="204">
        <f t="shared" si="34"/>
        <v>7290</v>
      </c>
      <c r="M101" s="269">
        <v>194400.0</v>
      </c>
      <c r="N101" s="270"/>
    </row>
    <row r="102" ht="15.75" customHeight="1">
      <c r="A102" s="321"/>
      <c r="B102" s="211" t="s">
        <v>174</v>
      </c>
      <c r="C102" s="332"/>
      <c r="D102" s="208">
        <v>1.0</v>
      </c>
      <c r="E102" s="208"/>
      <c r="F102" s="208"/>
      <c r="G102" s="208">
        <v>12.0</v>
      </c>
      <c r="H102" s="208"/>
      <c r="I102" s="201">
        <f>(G102*D102)+(H102*F102)</f>
        <v>12</v>
      </c>
      <c r="J102" s="117">
        <f t="shared" si="32"/>
        <v>0.01666666667</v>
      </c>
      <c r="K102" s="117">
        <f t="shared" si="33"/>
        <v>0.01666666667</v>
      </c>
      <c r="L102" s="204">
        <f t="shared" si="34"/>
        <v>3240</v>
      </c>
      <c r="M102" s="269">
        <v>194400.0</v>
      </c>
      <c r="N102" s="310"/>
    </row>
    <row r="103" ht="15.75" customHeight="1">
      <c r="A103" s="315"/>
      <c r="B103" s="330" t="s">
        <v>177</v>
      </c>
      <c r="C103" s="317"/>
      <c r="D103" s="318">
        <f>SUM(D94:D102)</f>
        <v>9</v>
      </c>
      <c r="E103" s="318"/>
      <c r="F103" s="318">
        <f t="shared" ref="F103:M103" si="35">SUM(F94:F102)</f>
        <v>0</v>
      </c>
      <c r="G103" s="318">
        <f t="shared" si="35"/>
        <v>1320</v>
      </c>
      <c r="H103" s="318">
        <f t="shared" si="35"/>
        <v>0</v>
      </c>
      <c r="I103" s="319">
        <f t="shared" si="35"/>
        <v>861</v>
      </c>
      <c r="J103" s="320">
        <f t="shared" si="35"/>
        <v>1.195833333</v>
      </c>
      <c r="K103" s="320">
        <f t="shared" si="35"/>
        <v>1.195833333</v>
      </c>
      <c r="L103" s="319">
        <f t="shared" si="35"/>
        <v>382883.3333</v>
      </c>
      <c r="M103" s="318">
        <f t="shared" si="35"/>
        <v>2372000</v>
      </c>
      <c r="N103" s="270"/>
    </row>
    <row r="104" ht="15.75" customHeight="1">
      <c r="A104" s="333"/>
      <c r="B104" s="334" t="s">
        <v>211</v>
      </c>
      <c r="C104" s="323"/>
      <c r="D104" s="324"/>
      <c r="E104" s="325"/>
      <c r="F104" s="325"/>
      <c r="G104" s="325"/>
      <c r="H104" s="325"/>
      <c r="I104" s="326"/>
      <c r="J104" s="327"/>
      <c r="K104" s="327"/>
      <c r="L104" s="326"/>
      <c r="M104" s="325"/>
      <c r="N104" s="310"/>
    </row>
    <row r="105" ht="21.75" customHeight="1">
      <c r="A105" s="335" t="s">
        <v>158</v>
      </c>
      <c r="B105" s="336" t="s">
        <v>212</v>
      </c>
      <c r="C105" s="301" t="s">
        <v>213</v>
      </c>
      <c r="D105" s="208">
        <v>3.0</v>
      </c>
      <c r="E105" s="208">
        <v>1.0</v>
      </c>
      <c r="F105" s="208"/>
      <c r="G105" s="208">
        <v>288.0</v>
      </c>
      <c r="H105" s="184"/>
      <c r="I105" s="201">
        <f>(G105*D105)+(G105*E105)</f>
        <v>1152</v>
      </c>
      <c r="J105" s="117">
        <f t="shared" ref="J105:J111" si="36">I105/720</f>
        <v>1.6</v>
      </c>
      <c r="K105" s="117">
        <f t="shared" ref="K105:K111" si="37">J105</f>
        <v>1.6</v>
      </c>
      <c r="L105" s="204">
        <f t="shared" ref="L105:L111" si="38">J105*M105</f>
        <v>560000</v>
      </c>
      <c r="M105" s="205">
        <v>350000.0</v>
      </c>
      <c r="N105" s="310"/>
    </row>
    <row r="106" ht="32.25" customHeight="1">
      <c r="A106" s="335" t="s">
        <v>158</v>
      </c>
      <c r="B106" s="337" t="s">
        <v>214</v>
      </c>
      <c r="C106" s="301" t="s">
        <v>213</v>
      </c>
      <c r="D106" s="208">
        <v>3.0</v>
      </c>
      <c r="E106" s="208">
        <v>1.0</v>
      </c>
      <c r="F106" s="208"/>
      <c r="G106" s="208">
        <v>192.0</v>
      </c>
      <c r="H106" s="184"/>
      <c r="I106" s="201">
        <f>((G106*D106)+(G106*E106))/4</f>
        <v>192</v>
      </c>
      <c r="J106" s="117">
        <f t="shared" si="36"/>
        <v>0.2666666667</v>
      </c>
      <c r="K106" s="117">
        <f t="shared" si="37"/>
        <v>0.2666666667</v>
      </c>
      <c r="L106" s="204">
        <f t="shared" si="38"/>
        <v>51840</v>
      </c>
      <c r="M106" s="269">
        <v>194400.0</v>
      </c>
      <c r="N106" s="270"/>
    </row>
    <row r="107" ht="27.75" customHeight="1">
      <c r="A107" s="335" t="s">
        <v>160</v>
      </c>
      <c r="B107" s="314" t="s">
        <v>215</v>
      </c>
      <c r="C107" s="301" t="s">
        <v>213</v>
      </c>
      <c r="D107" s="208">
        <v>3.0</v>
      </c>
      <c r="E107" s="208">
        <v>1.0</v>
      </c>
      <c r="F107" s="208"/>
      <c r="G107" s="208">
        <v>288.0</v>
      </c>
      <c r="H107" s="184"/>
      <c r="I107" s="201">
        <f>(G107*D107)+(G107*E107)</f>
        <v>1152</v>
      </c>
      <c r="J107" s="117">
        <f t="shared" si="36"/>
        <v>1.6</v>
      </c>
      <c r="K107" s="117">
        <f t="shared" si="37"/>
        <v>1.6</v>
      </c>
      <c r="L107" s="204">
        <f t="shared" si="38"/>
        <v>560000</v>
      </c>
      <c r="M107" s="205">
        <v>350000.0</v>
      </c>
      <c r="N107" s="310"/>
    </row>
    <row r="108" ht="41.25" customHeight="1">
      <c r="A108" s="335" t="s">
        <v>160</v>
      </c>
      <c r="B108" s="311" t="s">
        <v>216</v>
      </c>
      <c r="C108" s="301" t="s">
        <v>213</v>
      </c>
      <c r="D108" s="208">
        <v>3.0</v>
      </c>
      <c r="E108" s="208">
        <v>1.0</v>
      </c>
      <c r="F108" s="208"/>
      <c r="G108" s="208">
        <v>192.0</v>
      </c>
      <c r="H108" s="184"/>
      <c r="I108" s="201">
        <f>((G108*D108)+(G108*E108))/4</f>
        <v>192</v>
      </c>
      <c r="J108" s="117">
        <f t="shared" si="36"/>
        <v>0.2666666667</v>
      </c>
      <c r="K108" s="117">
        <f t="shared" si="37"/>
        <v>0.2666666667</v>
      </c>
      <c r="L108" s="204">
        <f t="shared" si="38"/>
        <v>51840</v>
      </c>
      <c r="M108" s="338">
        <v>194400.0</v>
      </c>
      <c r="N108" s="270"/>
    </row>
    <row r="109" ht="29.25" customHeight="1">
      <c r="A109" s="335" t="s">
        <v>162</v>
      </c>
      <c r="B109" s="339" t="s">
        <v>217</v>
      </c>
      <c r="C109" s="301" t="s">
        <v>213</v>
      </c>
      <c r="D109" s="208">
        <v>3.0</v>
      </c>
      <c r="E109" s="208">
        <v>1.0</v>
      </c>
      <c r="F109" s="208"/>
      <c r="G109" s="208">
        <v>120.0</v>
      </c>
      <c r="H109" s="184"/>
      <c r="I109" s="201">
        <f>(G109*D109)+(G109*E109)</f>
        <v>480</v>
      </c>
      <c r="J109" s="117">
        <f t="shared" si="36"/>
        <v>0.6666666667</v>
      </c>
      <c r="K109" s="117">
        <f t="shared" si="37"/>
        <v>0.6666666667</v>
      </c>
      <c r="L109" s="204">
        <f t="shared" si="38"/>
        <v>233333.3333</v>
      </c>
      <c r="M109" s="205">
        <v>350000.0</v>
      </c>
      <c r="N109" s="310"/>
    </row>
    <row r="110" ht="29.25" customHeight="1">
      <c r="A110" s="335" t="s">
        <v>162</v>
      </c>
      <c r="B110" s="340" t="s">
        <v>218</v>
      </c>
      <c r="C110" s="301" t="s">
        <v>213</v>
      </c>
      <c r="D110" s="208">
        <v>3.0</v>
      </c>
      <c r="E110" s="208">
        <v>1.0</v>
      </c>
      <c r="F110" s="208"/>
      <c r="G110" s="208">
        <v>0.0</v>
      </c>
      <c r="H110" s="184"/>
      <c r="I110" s="201">
        <f>((G110*D110)+(G110*E110))/2</f>
        <v>0</v>
      </c>
      <c r="J110" s="117">
        <f t="shared" si="36"/>
        <v>0</v>
      </c>
      <c r="K110" s="117">
        <f t="shared" si="37"/>
        <v>0</v>
      </c>
      <c r="L110" s="204">
        <f t="shared" si="38"/>
        <v>0</v>
      </c>
      <c r="M110" s="338">
        <v>194400.0</v>
      </c>
      <c r="N110" s="270"/>
    </row>
    <row r="111" ht="17.25" customHeight="1">
      <c r="A111" s="335"/>
      <c r="B111" s="211" t="s">
        <v>174</v>
      </c>
      <c r="C111" s="332"/>
      <c r="D111" s="208">
        <v>3.0</v>
      </c>
      <c r="E111" s="208">
        <v>1.0</v>
      </c>
      <c r="F111" s="208"/>
      <c r="G111" s="208">
        <v>12.0</v>
      </c>
      <c r="H111" s="184"/>
      <c r="I111" s="201">
        <f>(G111*D111)+(G111*E111)</f>
        <v>48</v>
      </c>
      <c r="J111" s="117">
        <f t="shared" si="36"/>
        <v>0.06666666667</v>
      </c>
      <c r="K111" s="117">
        <f t="shared" si="37"/>
        <v>0.06666666667</v>
      </c>
      <c r="L111" s="204">
        <f t="shared" si="38"/>
        <v>12960</v>
      </c>
      <c r="M111" s="338">
        <v>194400.0</v>
      </c>
      <c r="N111" s="310"/>
    </row>
    <row r="112" ht="15.75" customHeight="1">
      <c r="A112" s="341"/>
      <c r="B112" s="330" t="s">
        <v>177</v>
      </c>
      <c r="C112" s="317"/>
      <c r="D112" s="318">
        <f>SUM(D105:D111)</f>
        <v>21</v>
      </c>
      <c r="E112" s="318"/>
      <c r="F112" s="318">
        <f>SUM(F105:F109)</f>
        <v>0</v>
      </c>
      <c r="G112" s="318">
        <f>SUM(G105:G111)</f>
        <v>1092</v>
      </c>
      <c r="H112" s="318">
        <f t="shared" ref="H112:M112" si="39">SUM(H105:H109)</f>
        <v>0</v>
      </c>
      <c r="I112" s="319">
        <f t="shared" si="39"/>
        <v>3168</v>
      </c>
      <c r="J112" s="320">
        <f t="shared" si="39"/>
        <v>4.4</v>
      </c>
      <c r="K112" s="320">
        <f t="shared" si="39"/>
        <v>4.4</v>
      </c>
      <c r="L112" s="319">
        <f t="shared" si="39"/>
        <v>1457013.333</v>
      </c>
      <c r="M112" s="318">
        <f t="shared" si="39"/>
        <v>1438800</v>
      </c>
      <c r="N112" s="270"/>
    </row>
    <row r="113" ht="15.0" customHeight="1">
      <c r="A113" s="335"/>
      <c r="B113" s="342" t="s">
        <v>219</v>
      </c>
      <c r="C113" s="323"/>
      <c r="D113" s="324"/>
      <c r="E113" s="325"/>
      <c r="F113" s="325"/>
      <c r="G113" s="325"/>
      <c r="H113" s="325"/>
      <c r="I113" s="326"/>
      <c r="J113" s="327"/>
      <c r="K113" s="327"/>
      <c r="L113" s="326"/>
      <c r="M113" s="325"/>
      <c r="N113" s="310"/>
    </row>
    <row r="114" ht="27.75" customHeight="1">
      <c r="A114" s="335" t="s">
        <v>158</v>
      </c>
      <c r="B114" s="343" t="s">
        <v>220</v>
      </c>
      <c r="C114" s="344" t="s">
        <v>195</v>
      </c>
      <c r="D114" s="208">
        <v>1.0</v>
      </c>
      <c r="E114" s="208"/>
      <c r="F114" s="208">
        <v>1.0</v>
      </c>
      <c r="G114" s="208">
        <v>244.0</v>
      </c>
      <c r="H114" s="208">
        <v>88.0</v>
      </c>
      <c r="I114" s="201">
        <f>(G114*D114)+(H114*F114)</f>
        <v>332</v>
      </c>
      <c r="J114" s="117">
        <f t="shared" ref="J114:J120" si="40">I114/720</f>
        <v>0.4611111111</v>
      </c>
      <c r="K114" s="117">
        <f t="shared" ref="K114:K120" si="41">J114</f>
        <v>0.4611111111</v>
      </c>
      <c r="L114" s="204">
        <f t="shared" ref="L114:L120" si="42">J114*M114</f>
        <v>161388.8889</v>
      </c>
      <c r="M114" s="205">
        <v>350000.0</v>
      </c>
      <c r="N114" s="310"/>
    </row>
    <row r="115" ht="27.75" customHeight="1">
      <c r="A115" s="335" t="s">
        <v>158</v>
      </c>
      <c r="B115" s="345" t="s">
        <v>221</v>
      </c>
      <c r="C115" s="344" t="s">
        <v>195</v>
      </c>
      <c r="D115" s="208">
        <v>1.0</v>
      </c>
      <c r="E115" s="208"/>
      <c r="F115" s="208"/>
      <c r="G115" s="208">
        <v>164.0</v>
      </c>
      <c r="H115" s="208"/>
      <c r="I115" s="201">
        <f>((G115*D115)+(G115*E115))/4</f>
        <v>41</v>
      </c>
      <c r="J115" s="117">
        <f t="shared" si="40"/>
        <v>0.05694444444</v>
      </c>
      <c r="K115" s="117">
        <f t="shared" si="41"/>
        <v>0.05694444444</v>
      </c>
      <c r="L115" s="204">
        <f t="shared" si="42"/>
        <v>11070</v>
      </c>
      <c r="M115" s="338">
        <v>194400.0</v>
      </c>
      <c r="N115" s="270"/>
    </row>
    <row r="116" ht="29.25" customHeight="1">
      <c r="A116" s="335" t="s">
        <v>160</v>
      </c>
      <c r="B116" s="345" t="s">
        <v>222</v>
      </c>
      <c r="C116" s="344" t="s">
        <v>195</v>
      </c>
      <c r="D116" s="208">
        <v>1.0</v>
      </c>
      <c r="E116" s="208"/>
      <c r="F116" s="208">
        <v>1.0</v>
      </c>
      <c r="G116" s="208">
        <v>258.0</v>
      </c>
      <c r="H116" s="208">
        <v>138.0</v>
      </c>
      <c r="I116" s="201">
        <f>(G116*D116)+(H116*F116)</f>
        <v>396</v>
      </c>
      <c r="J116" s="117">
        <f t="shared" si="40"/>
        <v>0.55</v>
      </c>
      <c r="K116" s="117">
        <f t="shared" si="41"/>
        <v>0.55</v>
      </c>
      <c r="L116" s="204">
        <f t="shared" si="42"/>
        <v>192500</v>
      </c>
      <c r="M116" s="205">
        <v>350000.0</v>
      </c>
      <c r="N116" s="310"/>
    </row>
    <row r="117" ht="43.5" customHeight="1">
      <c r="A117" s="335" t="s">
        <v>160</v>
      </c>
      <c r="B117" s="345" t="s">
        <v>223</v>
      </c>
      <c r="C117" s="344" t="s">
        <v>195</v>
      </c>
      <c r="D117" s="208">
        <v>1.0</v>
      </c>
      <c r="E117" s="208"/>
      <c r="F117" s="208"/>
      <c r="G117" s="208">
        <v>174.0</v>
      </c>
      <c r="H117" s="208"/>
      <c r="I117" s="201">
        <f>((G117*D117)+(G117*E117))/4</f>
        <v>43.5</v>
      </c>
      <c r="J117" s="117">
        <f t="shared" si="40"/>
        <v>0.06041666667</v>
      </c>
      <c r="K117" s="117">
        <f t="shared" si="41"/>
        <v>0.06041666667</v>
      </c>
      <c r="L117" s="204">
        <f t="shared" si="42"/>
        <v>11745</v>
      </c>
      <c r="M117" s="338">
        <v>194400.0</v>
      </c>
      <c r="N117" s="270"/>
    </row>
    <row r="118" ht="21.0" customHeight="1">
      <c r="A118" s="335" t="s">
        <v>162</v>
      </c>
      <c r="B118" s="346" t="s">
        <v>224</v>
      </c>
      <c r="C118" s="344" t="s">
        <v>195</v>
      </c>
      <c r="D118" s="208">
        <v>1.0</v>
      </c>
      <c r="E118" s="208"/>
      <c r="F118" s="208">
        <v>1.0</v>
      </c>
      <c r="G118" s="208">
        <v>240.0</v>
      </c>
      <c r="H118" s="208">
        <v>62.0</v>
      </c>
      <c r="I118" s="201">
        <f t="shared" ref="I118:I120" si="43">(G118*D118)+(H118*F118)</f>
        <v>302</v>
      </c>
      <c r="J118" s="117">
        <f t="shared" si="40"/>
        <v>0.4194444444</v>
      </c>
      <c r="K118" s="117">
        <f t="shared" si="41"/>
        <v>0.4194444444</v>
      </c>
      <c r="L118" s="204">
        <f t="shared" si="42"/>
        <v>146805.5556</v>
      </c>
      <c r="M118" s="205">
        <v>350000.0</v>
      </c>
      <c r="N118" s="310"/>
    </row>
    <row r="119" ht="27.75" customHeight="1">
      <c r="A119" s="335" t="s">
        <v>162</v>
      </c>
      <c r="B119" s="347" t="s">
        <v>225</v>
      </c>
      <c r="C119" s="344" t="s">
        <v>195</v>
      </c>
      <c r="D119" s="208">
        <v>1.0</v>
      </c>
      <c r="E119" s="208"/>
      <c r="F119" s="208"/>
      <c r="G119" s="208">
        <v>0.0</v>
      </c>
      <c r="H119" s="208"/>
      <c r="I119" s="201">
        <f t="shared" si="43"/>
        <v>0</v>
      </c>
      <c r="J119" s="117">
        <f t="shared" si="40"/>
        <v>0</v>
      </c>
      <c r="K119" s="117">
        <f t="shared" si="41"/>
        <v>0</v>
      </c>
      <c r="L119" s="204">
        <f t="shared" si="42"/>
        <v>0</v>
      </c>
      <c r="M119" s="338">
        <v>194400.0</v>
      </c>
      <c r="N119" s="270"/>
    </row>
    <row r="120" ht="21.0" customHeight="1">
      <c r="A120" s="335"/>
      <c r="B120" s="211" t="s">
        <v>174</v>
      </c>
      <c r="C120" s="332"/>
      <c r="D120" s="208">
        <v>1.0</v>
      </c>
      <c r="E120" s="208"/>
      <c r="F120" s="208">
        <v>1.0</v>
      </c>
      <c r="G120" s="208">
        <v>12.0</v>
      </c>
      <c r="H120" s="208">
        <v>12.0</v>
      </c>
      <c r="I120" s="201">
        <f t="shared" si="43"/>
        <v>24</v>
      </c>
      <c r="J120" s="117">
        <f t="shared" si="40"/>
        <v>0.03333333333</v>
      </c>
      <c r="K120" s="117">
        <f t="shared" si="41"/>
        <v>0.03333333333</v>
      </c>
      <c r="L120" s="204">
        <f t="shared" si="42"/>
        <v>6480</v>
      </c>
      <c r="M120" s="338">
        <v>194400.0</v>
      </c>
      <c r="N120" s="310"/>
    </row>
    <row r="121" ht="15.75" customHeight="1">
      <c r="A121" s="341"/>
      <c r="B121" s="330" t="s">
        <v>177</v>
      </c>
      <c r="C121" s="317"/>
      <c r="D121" s="318">
        <f>SUM(D114:D120)</f>
        <v>7</v>
      </c>
      <c r="E121" s="318"/>
      <c r="F121" s="318">
        <f t="shared" ref="F121:M121" si="44">SUM(F114:F120)</f>
        <v>4</v>
      </c>
      <c r="G121" s="318">
        <f t="shared" si="44"/>
        <v>1092</v>
      </c>
      <c r="H121" s="318">
        <f t="shared" si="44"/>
        <v>300</v>
      </c>
      <c r="I121" s="319">
        <f t="shared" si="44"/>
        <v>1138.5</v>
      </c>
      <c r="J121" s="320">
        <f t="shared" si="44"/>
        <v>1.58125</v>
      </c>
      <c r="K121" s="320">
        <f t="shared" si="44"/>
        <v>1.58125</v>
      </c>
      <c r="L121" s="319">
        <f t="shared" si="44"/>
        <v>529989.4444</v>
      </c>
      <c r="M121" s="318">
        <f t="shared" si="44"/>
        <v>1827600</v>
      </c>
      <c r="N121" s="270"/>
    </row>
    <row r="122" ht="15.75" customHeight="1">
      <c r="A122" s="333"/>
      <c r="B122" s="348" t="s">
        <v>226</v>
      </c>
      <c r="C122" s="323"/>
      <c r="D122" s="324"/>
      <c r="E122" s="325"/>
      <c r="F122" s="325"/>
      <c r="G122" s="325"/>
      <c r="H122" s="325"/>
      <c r="I122" s="326"/>
      <c r="J122" s="327"/>
      <c r="K122" s="327"/>
      <c r="L122" s="326"/>
      <c r="M122" s="325"/>
      <c r="N122" s="310"/>
    </row>
    <row r="123" ht="30.75" customHeight="1">
      <c r="A123" s="335" t="s">
        <v>158</v>
      </c>
      <c r="B123" s="349" t="s">
        <v>227</v>
      </c>
      <c r="C123" s="332" t="s">
        <v>228</v>
      </c>
      <c r="D123" s="208">
        <v>1.0</v>
      </c>
      <c r="E123" s="184"/>
      <c r="F123" s="184"/>
      <c r="G123" s="208">
        <v>346.0</v>
      </c>
      <c r="H123" s="184"/>
      <c r="I123" s="201">
        <f>(G123*D123)+(H123*F123)</f>
        <v>346</v>
      </c>
      <c r="J123" s="117">
        <f t="shared" ref="J123:J127" si="45">I123/720</f>
        <v>0.4805555556</v>
      </c>
      <c r="K123" s="117">
        <f t="shared" ref="K123:K127" si="46">J123</f>
        <v>0.4805555556</v>
      </c>
      <c r="L123" s="204">
        <f t="shared" ref="L123:L127" si="47">J123*M123</f>
        <v>168194.4444</v>
      </c>
      <c r="M123" s="205">
        <v>350000.0</v>
      </c>
      <c r="N123" s="310"/>
    </row>
    <row r="124" ht="47.25" customHeight="1">
      <c r="A124" s="335" t="s">
        <v>158</v>
      </c>
      <c r="B124" s="350" t="s">
        <v>229</v>
      </c>
      <c r="C124" s="332" t="s">
        <v>228</v>
      </c>
      <c r="D124" s="208">
        <v>1.0</v>
      </c>
      <c r="E124" s="184"/>
      <c r="F124" s="184"/>
      <c r="G124" s="208">
        <v>230.0</v>
      </c>
      <c r="H124" s="184"/>
      <c r="I124" s="201">
        <f>((G124*D124)+(G124*E124))/4</f>
        <v>57.5</v>
      </c>
      <c r="J124" s="117">
        <f t="shared" si="45"/>
        <v>0.07986111111</v>
      </c>
      <c r="K124" s="117">
        <f t="shared" si="46"/>
        <v>0.07986111111</v>
      </c>
      <c r="L124" s="204">
        <f t="shared" si="47"/>
        <v>15525</v>
      </c>
      <c r="M124" s="338">
        <v>194400.0</v>
      </c>
      <c r="N124" s="270"/>
    </row>
    <row r="125" ht="28.5" customHeight="1">
      <c r="A125" s="335" t="s">
        <v>160</v>
      </c>
      <c r="B125" s="314" t="s">
        <v>230</v>
      </c>
      <c r="C125" s="332" t="s">
        <v>228</v>
      </c>
      <c r="D125" s="208">
        <v>1.0</v>
      </c>
      <c r="E125" s="184"/>
      <c r="F125" s="184"/>
      <c r="G125" s="208">
        <v>294.0</v>
      </c>
      <c r="H125" s="184"/>
      <c r="I125" s="201">
        <f t="shared" ref="I125:I127" si="48">(G125*D125)+(H125*F125)</f>
        <v>294</v>
      </c>
      <c r="J125" s="117">
        <f t="shared" si="45"/>
        <v>0.4083333333</v>
      </c>
      <c r="K125" s="117">
        <f t="shared" si="46"/>
        <v>0.4083333333</v>
      </c>
      <c r="L125" s="204">
        <f t="shared" si="47"/>
        <v>142916.6667</v>
      </c>
      <c r="M125" s="205">
        <v>350000.0</v>
      </c>
      <c r="N125" s="310"/>
    </row>
    <row r="126" ht="18.0" customHeight="1">
      <c r="A126" s="351" t="s">
        <v>162</v>
      </c>
      <c r="B126" s="339" t="s">
        <v>231</v>
      </c>
      <c r="C126" s="332" t="s">
        <v>228</v>
      </c>
      <c r="D126" s="208">
        <v>1.0</v>
      </c>
      <c r="E126" s="184"/>
      <c r="F126" s="184"/>
      <c r="G126" s="208">
        <v>222.0</v>
      </c>
      <c r="H126" s="184"/>
      <c r="I126" s="201">
        <f t="shared" si="48"/>
        <v>222</v>
      </c>
      <c r="J126" s="117">
        <f t="shared" si="45"/>
        <v>0.3083333333</v>
      </c>
      <c r="K126" s="117">
        <f t="shared" si="46"/>
        <v>0.3083333333</v>
      </c>
      <c r="L126" s="204">
        <f t="shared" si="47"/>
        <v>107916.6667</v>
      </c>
      <c r="M126" s="205">
        <v>350000.0</v>
      </c>
      <c r="N126" s="310"/>
    </row>
    <row r="127" ht="18.0" customHeight="1">
      <c r="A127" s="351"/>
      <c r="B127" s="211" t="s">
        <v>174</v>
      </c>
      <c r="C127" s="332"/>
      <c r="D127" s="208">
        <v>1.0</v>
      </c>
      <c r="E127" s="208"/>
      <c r="F127" s="208"/>
      <c r="G127" s="208">
        <v>12.0</v>
      </c>
      <c r="H127" s="184"/>
      <c r="I127" s="201">
        <f t="shared" si="48"/>
        <v>12</v>
      </c>
      <c r="J127" s="117">
        <f t="shared" si="45"/>
        <v>0.01666666667</v>
      </c>
      <c r="K127" s="117">
        <f t="shared" si="46"/>
        <v>0.01666666667</v>
      </c>
      <c r="L127" s="204">
        <f t="shared" si="47"/>
        <v>3240</v>
      </c>
      <c r="M127" s="338">
        <v>194400.0</v>
      </c>
      <c r="N127" s="310"/>
    </row>
    <row r="128" ht="15.75" customHeight="1">
      <c r="A128" s="315"/>
      <c r="B128" s="330" t="s">
        <v>177</v>
      </c>
      <c r="C128" s="317"/>
      <c r="D128" s="318">
        <f>SUM(D123:D127)</f>
        <v>5</v>
      </c>
      <c r="E128" s="318"/>
      <c r="F128" s="318">
        <f t="shared" ref="F128:M128" si="49">SUM(F123:F127)</f>
        <v>0</v>
      </c>
      <c r="G128" s="318">
        <f t="shared" si="49"/>
        <v>1104</v>
      </c>
      <c r="H128" s="318">
        <f t="shared" si="49"/>
        <v>0</v>
      </c>
      <c r="I128" s="319">
        <f t="shared" si="49"/>
        <v>931.5</v>
      </c>
      <c r="J128" s="320">
        <f t="shared" si="49"/>
        <v>1.29375</v>
      </c>
      <c r="K128" s="320">
        <f t="shared" si="49"/>
        <v>1.29375</v>
      </c>
      <c r="L128" s="319">
        <f t="shared" si="49"/>
        <v>437792.7778</v>
      </c>
      <c r="M128" s="318">
        <f t="shared" si="49"/>
        <v>1438800</v>
      </c>
      <c r="N128" s="270"/>
    </row>
    <row r="129" ht="15.75" customHeight="1">
      <c r="A129" s="352"/>
      <c r="B129" s="353" t="s">
        <v>232</v>
      </c>
      <c r="C129" s="323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270"/>
    </row>
    <row r="130" ht="15.75" customHeight="1">
      <c r="A130" s="351" t="s">
        <v>158</v>
      </c>
      <c r="B130" s="355" t="s">
        <v>233</v>
      </c>
      <c r="C130" s="344" t="s">
        <v>196</v>
      </c>
      <c r="D130" s="356">
        <v>1.0</v>
      </c>
      <c r="E130" s="356">
        <v>1.0</v>
      </c>
      <c r="F130" s="356"/>
      <c r="G130" s="208">
        <v>330.0</v>
      </c>
      <c r="H130" s="184"/>
      <c r="I130" s="201">
        <f>(G130*D130)+(H130*F130)</f>
        <v>330</v>
      </c>
      <c r="J130" s="117">
        <f t="shared" ref="J130:J134" si="50">I130/720</f>
        <v>0.4583333333</v>
      </c>
      <c r="K130" s="117">
        <f t="shared" ref="K130:K134" si="51">J130</f>
        <v>0.4583333333</v>
      </c>
      <c r="L130" s="204">
        <f t="shared" ref="L130:L134" si="52">J130*M130</f>
        <v>160416.6667</v>
      </c>
      <c r="M130" s="205">
        <v>350000.0</v>
      </c>
      <c r="N130" s="310"/>
    </row>
    <row r="131" ht="29.25" customHeight="1">
      <c r="A131" s="351" t="s">
        <v>158</v>
      </c>
      <c r="B131" s="357" t="s">
        <v>234</v>
      </c>
      <c r="C131" s="344" t="s">
        <v>196</v>
      </c>
      <c r="D131" s="356">
        <v>1.0</v>
      </c>
      <c r="E131" s="356">
        <v>1.0</v>
      </c>
      <c r="F131" s="356"/>
      <c r="G131" s="208">
        <v>222.0</v>
      </c>
      <c r="H131" s="184"/>
      <c r="I131" s="201">
        <f>(G131*D131)+(H131*F131)/4</f>
        <v>222</v>
      </c>
      <c r="J131" s="117">
        <f t="shared" si="50"/>
        <v>0.3083333333</v>
      </c>
      <c r="K131" s="117">
        <f t="shared" si="51"/>
        <v>0.3083333333</v>
      </c>
      <c r="L131" s="204">
        <f t="shared" si="52"/>
        <v>59940</v>
      </c>
      <c r="M131" s="338">
        <v>194400.0</v>
      </c>
      <c r="N131" s="270"/>
    </row>
    <row r="132" ht="29.25" customHeight="1">
      <c r="A132" s="351" t="s">
        <v>160</v>
      </c>
      <c r="B132" s="358" t="s">
        <v>235</v>
      </c>
      <c r="C132" s="344" t="s">
        <v>196</v>
      </c>
      <c r="D132" s="356">
        <v>1.0</v>
      </c>
      <c r="E132" s="356">
        <v>1.0</v>
      </c>
      <c r="F132" s="356"/>
      <c r="G132" s="208">
        <v>288.0</v>
      </c>
      <c r="H132" s="184"/>
      <c r="I132" s="201">
        <f t="shared" ref="I132:I133" si="53">(G132*D132)+(H132*F132)</f>
        <v>288</v>
      </c>
      <c r="J132" s="117">
        <f t="shared" si="50"/>
        <v>0.4</v>
      </c>
      <c r="K132" s="117">
        <f t="shared" si="51"/>
        <v>0.4</v>
      </c>
      <c r="L132" s="204">
        <f t="shared" si="52"/>
        <v>140000</v>
      </c>
      <c r="M132" s="205">
        <v>350000.0</v>
      </c>
      <c r="N132" s="310"/>
    </row>
    <row r="133" ht="18.0" customHeight="1">
      <c r="A133" s="351" t="s">
        <v>162</v>
      </c>
      <c r="B133" s="359" t="s">
        <v>236</v>
      </c>
      <c r="C133" s="344" t="s">
        <v>196</v>
      </c>
      <c r="D133" s="356">
        <v>1.0</v>
      </c>
      <c r="E133" s="356">
        <v>1.0</v>
      </c>
      <c r="F133" s="356"/>
      <c r="G133" s="208">
        <v>252.0</v>
      </c>
      <c r="H133" s="184"/>
      <c r="I133" s="201">
        <f t="shared" si="53"/>
        <v>252</v>
      </c>
      <c r="J133" s="117">
        <f t="shared" si="50"/>
        <v>0.35</v>
      </c>
      <c r="K133" s="117">
        <f t="shared" si="51"/>
        <v>0.35</v>
      </c>
      <c r="L133" s="204">
        <f t="shared" si="52"/>
        <v>122500</v>
      </c>
      <c r="M133" s="205">
        <v>350000.0</v>
      </c>
      <c r="N133" s="310"/>
    </row>
    <row r="134" ht="18.0" customHeight="1">
      <c r="A134" s="360"/>
      <c r="B134" s="211" t="s">
        <v>174</v>
      </c>
      <c r="C134" s="344"/>
      <c r="D134" s="356">
        <v>1.0</v>
      </c>
      <c r="E134" s="356">
        <v>1.0</v>
      </c>
      <c r="F134" s="356"/>
      <c r="G134" s="356">
        <v>12.0</v>
      </c>
      <c r="H134" s="356">
        <v>12.0</v>
      </c>
      <c r="I134" s="201">
        <f>(G134*D134)+(H134*E134)</f>
        <v>24</v>
      </c>
      <c r="J134" s="117">
        <f t="shared" si="50"/>
        <v>0.03333333333</v>
      </c>
      <c r="K134" s="117">
        <f t="shared" si="51"/>
        <v>0.03333333333</v>
      </c>
      <c r="L134" s="204">
        <f t="shared" si="52"/>
        <v>6480</v>
      </c>
      <c r="M134" s="338">
        <v>194400.0</v>
      </c>
      <c r="N134" s="310"/>
    </row>
    <row r="135" ht="15.75" customHeight="1">
      <c r="A135" s="361"/>
      <c r="B135" s="362"/>
      <c r="C135" s="317"/>
      <c r="D135" s="363">
        <f>SUM(D130:D134)</f>
        <v>5</v>
      </c>
      <c r="E135" s="363"/>
      <c r="F135" s="363">
        <f>SUM(F130:F133)</f>
        <v>0</v>
      </c>
      <c r="G135" s="363">
        <f t="shared" ref="G135:H135" si="54">SUM(G130:G134)</f>
        <v>1104</v>
      </c>
      <c r="H135" s="363">
        <f t="shared" si="54"/>
        <v>12</v>
      </c>
      <c r="I135" s="364">
        <f t="shared" ref="I135:M135" si="55">SUM(I130:I133)</f>
        <v>1092</v>
      </c>
      <c r="J135" s="365">
        <f t="shared" si="55"/>
        <v>1.516666667</v>
      </c>
      <c r="K135" s="365">
        <f t="shared" si="55"/>
        <v>1.516666667</v>
      </c>
      <c r="L135" s="364">
        <f t="shared" si="55"/>
        <v>482856.6667</v>
      </c>
      <c r="M135" s="363">
        <f t="shared" si="55"/>
        <v>1244400</v>
      </c>
      <c r="N135" s="270"/>
    </row>
    <row r="136" ht="12.75" customHeight="1">
      <c r="A136" s="366"/>
      <c r="B136" s="367" t="s">
        <v>177</v>
      </c>
      <c r="C136" s="368"/>
      <c r="D136" s="369"/>
      <c r="E136" s="369"/>
      <c r="F136" s="369"/>
      <c r="G136" s="369"/>
      <c r="H136" s="369"/>
      <c r="I136" s="369"/>
      <c r="J136" s="369"/>
      <c r="K136" s="370">
        <f t="shared" ref="K136:L136" si="56">K39+K60+K70+K81+K92+K103+K112+K121+K128+K135</f>
        <v>34.03472222</v>
      </c>
      <c r="L136" s="371">
        <f t="shared" si="56"/>
        <v>9344265.556</v>
      </c>
      <c r="M136" s="370"/>
      <c r="N136" s="372"/>
    </row>
    <row r="137" ht="15.75" customHeight="1">
      <c r="L137" s="373">
        <f>(L136*10)+(L136*2)</f>
        <v>112131186.7</v>
      </c>
    </row>
    <row r="138" ht="15.75" customHeight="1">
      <c r="K138" s="374" t="s">
        <v>237</v>
      </c>
      <c r="L138" s="373">
        <f>L137*1.17</f>
        <v>131193488.4</v>
      </c>
    </row>
    <row r="139" ht="15.75" customHeight="1">
      <c r="K139" s="374" t="s">
        <v>238</v>
      </c>
      <c r="L139" s="375">
        <v>8.1227554E7</v>
      </c>
    </row>
    <row r="140" ht="15.75" customHeight="1"/>
    <row r="141" ht="15.75" customHeight="1">
      <c r="L141" s="376">
        <f>L139-L138</f>
        <v>-49965934.4</v>
      </c>
    </row>
    <row r="142" ht="15.75" customHeight="1"/>
    <row r="143" ht="15.75" customHeight="1"/>
    <row r="144" ht="15.75" customHeight="1">
      <c r="K144" s="374" t="s">
        <v>239</v>
      </c>
      <c r="L144" s="373">
        <v>-2.9548405999999985E7</v>
      </c>
    </row>
    <row r="145" ht="15.75" customHeight="1">
      <c r="L145" s="373">
        <f>L144-L141</f>
        <v>20417528.4</v>
      </c>
    </row>
    <row r="146" ht="15.75" customHeight="1"/>
    <row r="147" ht="15.75" customHeight="1">
      <c r="B147" s="374" t="s">
        <v>240</v>
      </c>
      <c r="K147" s="377">
        <f>K62+K64+K66+K68+K69+K72+K74+K75+K77+K79+K80+K83+K85+K87+K89+K91+K94+K96+K98+K100+K102+K105+K107+K109+K111+K114+K116+K118+K120+K123+K125+K126+K127+K130+K132+K133</f>
        <v>15.24444444</v>
      </c>
    </row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>
      <c r="H279" s="378"/>
    </row>
    <row r="280" ht="15.75" customHeight="1">
      <c r="H280" s="75"/>
    </row>
    <row r="281" ht="15.75" customHeight="1">
      <c r="H281" s="75"/>
    </row>
    <row r="282" ht="15.75" customHeight="1">
      <c r="H282" s="75"/>
    </row>
    <row r="283" ht="15.75" customHeight="1">
      <c r="H283" s="75"/>
    </row>
    <row r="284" ht="15.75" customHeight="1">
      <c r="H284" s="75"/>
    </row>
    <row r="285" ht="15.75" customHeight="1">
      <c r="H285" s="75"/>
    </row>
    <row r="286" ht="15.75" customHeight="1">
      <c r="H286" s="75"/>
    </row>
    <row r="287" ht="15.75" customHeight="1">
      <c r="H287" s="75"/>
    </row>
    <row r="288" ht="15.75" customHeight="1">
      <c r="H288" s="75"/>
    </row>
    <row r="289" ht="15.75" customHeight="1">
      <c r="H289" s="75"/>
    </row>
    <row r="290" ht="15.75" customHeight="1">
      <c r="H290" s="75"/>
    </row>
    <row r="291" ht="15.75" customHeight="1">
      <c r="H291" s="75"/>
    </row>
    <row r="292" ht="15.75" customHeight="1">
      <c r="H292" s="75"/>
    </row>
    <row r="293" ht="15.75" customHeight="1">
      <c r="H293" s="75"/>
    </row>
    <row r="294" ht="15.75" customHeight="1">
      <c r="H294" s="75"/>
    </row>
    <row r="295" ht="15.75" customHeight="1">
      <c r="H295" s="75"/>
    </row>
    <row r="296" ht="15.75" customHeight="1">
      <c r="H296" s="75"/>
    </row>
    <row r="297" ht="15.75" customHeight="1">
      <c r="H297" s="75"/>
    </row>
    <row r="298" ht="15.75" customHeight="1">
      <c r="H298" s="75"/>
    </row>
    <row r="299" ht="15.75" customHeight="1">
      <c r="H299" s="75"/>
    </row>
    <row r="300" ht="15.75" customHeight="1">
      <c r="H300" s="75"/>
    </row>
    <row r="301" ht="15.75" customHeight="1">
      <c r="H301" s="75"/>
    </row>
    <row r="302" ht="15.75" customHeight="1">
      <c r="H302" s="75"/>
    </row>
    <row r="303" ht="15.75" customHeight="1">
      <c r="H303" s="75"/>
    </row>
    <row r="304" ht="15.75" customHeight="1">
      <c r="H304" s="75"/>
    </row>
    <row r="305" ht="15.75" customHeight="1">
      <c r="H305" s="75"/>
    </row>
    <row r="306" ht="15.75" customHeight="1">
      <c r="H306" s="75"/>
    </row>
    <row r="307" ht="15.75" customHeight="1">
      <c r="H307" s="75"/>
    </row>
    <row r="308" ht="15.75" customHeight="1">
      <c r="H308" s="75"/>
    </row>
    <row r="309" ht="15.75" customHeight="1">
      <c r="H309" s="75"/>
    </row>
    <row r="310" ht="15.75" customHeight="1">
      <c r="H310" s="75"/>
    </row>
    <row r="311" ht="15.75" customHeight="1">
      <c r="H311" s="75"/>
    </row>
    <row r="312" ht="15.75" customHeight="1">
      <c r="H312" s="75"/>
    </row>
    <row r="313" ht="15.75" customHeight="1">
      <c r="H313" s="75"/>
    </row>
    <row r="314" ht="15.75" customHeight="1">
      <c r="H314" s="75"/>
    </row>
    <row r="315" ht="15.75" customHeight="1">
      <c r="H315" s="75"/>
    </row>
    <row r="316" ht="15.75" customHeight="1">
      <c r="H316" s="75"/>
    </row>
    <row r="317" ht="15.75" customHeight="1">
      <c r="H317" s="75"/>
    </row>
    <row r="318" ht="15.75" customHeight="1">
      <c r="H318" s="75"/>
    </row>
    <row r="319" ht="15.75" customHeight="1">
      <c r="H319" s="75"/>
    </row>
    <row r="320" ht="15.75" customHeight="1">
      <c r="H320" s="75"/>
    </row>
    <row r="321" ht="15.75" customHeight="1">
      <c r="H321" s="75"/>
    </row>
    <row r="322" ht="15.75" customHeight="1">
      <c r="H322" s="75"/>
    </row>
    <row r="323" ht="15.75" customHeight="1">
      <c r="H323" s="75"/>
    </row>
    <row r="324" ht="15.75" customHeight="1">
      <c r="H324" s="75"/>
    </row>
    <row r="325" ht="15.75" customHeight="1">
      <c r="H325" s="75"/>
    </row>
    <row r="326" ht="15.75" customHeight="1">
      <c r="H326" s="75"/>
    </row>
    <row r="327" ht="15.75" customHeight="1">
      <c r="H327" s="75"/>
    </row>
    <row r="328" ht="15.75" customHeight="1">
      <c r="H328" s="75"/>
    </row>
    <row r="329" ht="15.75" customHeight="1">
      <c r="H329" s="75"/>
    </row>
    <row r="330" ht="15.75" customHeight="1">
      <c r="H330" s="75"/>
    </row>
    <row r="331" ht="15.75" customHeight="1">
      <c r="H331" s="75"/>
    </row>
    <row r="332" ht="15.75" customHeight="1">
      <c r="H332" s="75"/>
    </row>
    <row r="333" ht="15.75" customHeight="1">
      <c r="H333" s="75"/>
    </row>
    <row r="334" ht="15.75" customHeight="1">
      <c r="H334" s="75"/>
    </row>
    <row r="335" ht="15.75" customHeight="1">
      <c r="H335" s="75"/>
    </row>
    <row r="336" ht="15.75" customHeight="1">
      <c r="H336" s="75"/>
    </row>
    <row r="337" ht="15.75" customHeight="1">
      <c r="H337" s="75"/>
    </row>
    <row r="338" ht="15.75" customHeight="1">
      <c r="H338" s="75"/>
    </row>
    <row r="339" ht="15.75" customHeight="1">
      <c r="H339" s="75"/>
    </row>
    <row r="340" ht="15.75" customHeight="1">
      <c r="H340" s="75"/>
    </row>
    <row r="341" ht="15.75" customHeight="1">
      <c r="H341" s="75"/>
    </row>
    <row r="342" ht="15.75" customHeight="1">
      <c r="H342" s="75"/>
    </row>
    <row r="343" ht="15.75" customHeight="1">
      <c r="H343" s="75"/>
    </row>
    <row r="344" ht="15.75" customHeight="1">
      <c r="H344" s="75"/>
    </row>
    <row r="345" ht="15.75" customHeight="1">
      <c r="H345" s="75"/>
    </row>
    <row r="346" ht="15.75" customHeight="1">
      <c r="H346" s="75"/>
    </row>
    <row r="347" ht="15.75" customHeight="1">
      <c r="H347" s="75"/>
    </row>
    <row r="348" ht="15.75" customHeight="1">
      <c r="H348" s="75"/>
    </row>
    <row r="349" ht="15.75" customHeight="1">
      <c r="H349" s="75"/>
    </row>
    <row r="350" ht="15.75" customHeight="1">
      <c r="H350" s="75"/>
    </row>
    <row r="351" ht="15.75" customHeight="1">
      <c r="H351" s="75"/>
    </row>
    <row r="352" ht="15.75" customHeight="1">
      <c r="H352" s="75"/>
    </row>
    <row r="353" ht="15.75" customHeight="1">
      <c r="H353" s="75"/>
    </row>
    <row r="354" ht="15.75" customHeight="1">
      <c r="H354" s="75"/>
    </row>
    <row r="355" ht="15.75" customHeight="1">
      <c r="H355" s="75"/>
    </row>
    <row r="356" ht="15.75" customHeight="1">
      <c r="H356" s="75"/>
    </row>
    <row r="357" ht="15.75" customHeight="1">
      <c r="H357" s="75"/>
    </row>
    <row r="358" ht="15.75" customHeight="1">
      <c r="H358" s="75"/>
    </row>
    <row r="359" ht="15.75" customHeight="1">
      <c r="H359" s="75"/>
    </row>
    <row r="360" ht="15.75" customHeight="1">
      <c r="H360" s="75"/>
    </row>
    <row r="361" ht="15.75" customHeight="1">
      <c r="H361" s="75"/>
    </row>
    <row r="362" ht="15.75" customHeight="1">
      <c r="H362" s="75"/>
    </row>
    <row r="363" ht="15.75" customHeight="1">
      <c r="H363" s="75"/>
    </row>
    <row r="364" ht="15.75" customHeight="1">
      <c r="H364" s="75"/>
    </row>
    <row r="365" ht="15.75" customHeight="1">
      <c r="H365" s="75"/>
    </row>
    <row r="366" ht="15.75" customHeight="1">
      <c r="H366" s="75"/>
    </row>
    <row r="367" ht="15.75" customHeight="1">
      <c r="H367" s="75"/>
    </row>
    <row r="368" ht="15.75" customHeight="1">
      <c r="H368" s="75"/>
    </row>
    <row r="369" ht="15.75" customHeight="1">
      <c r="H369" s="75"/>
    </row>
    <row r="370" ht="15.75" customHeight="1">
      <c r="H370" s="75"/>
    </row>
    <row r="371" ht="15.75" customHeight="1">
      <c r="H371" s="75"/>
    </row>
    <row r="372" ht="15.75" customHeight="1">
      <c r="H372" s="75"/>
    </row>
    <row r="373" ht="15.75" customHeight="1">
      <c r="H373" s="75"/>
    </row>
    <row r="374" ht="15.75" customHeight="1">
      <c r="H374" s="75"/>
    </row>
    <row r="375" ht="15.75" customHeight="1">
      <c r="H375" s="75"/>
    </row>
    <row r="376" ht="15.75" customHeight="1">
      <c r="H376" s="75"/>
    </row>
    <row r="377" ht="15.75" customHeight="1">
      <c r="H377" s="75"/>
    </row>
    <row r="378" ht="15.75" customHeight="1">
      <c r="H378" s="75"/>
    </row>
    <row r="379" ht="15.75" customHeight="1">
      <c r="H379" s="75"/>
    </row>
    <row r="380" ht="15.75" customHeight="1">
      <c r="H380" s="75"/>
    </row>
    <row r="381" ht="15.75" customHeight="1">
      <c r="H381" s="75"/>
    </row>
    <row r="382" ht="15.75" customHeight="1">
      <c r="H382" s="75"/>
    </row>
    <row r="383" ht="15.75" customHeight="1">
      <c r="H383" s="75"/>
    </row>
    <row r="384" ht="15.75" customHeight="1">
      <c r="H384" s="75"/>
    </row>
    <row r="385" ht="15.75" customHeight="1">
      <c r="H385" s="75"/>
    </row>
    <row r="386" ht="15.75" customHeight="1">
      <c r="H386" s="75"/>
    </row>
    <row r="387" ht="15.75" customHeight="1">
      <c r="H387" s="75"/>
    </row>
    <row r="388" ht="15.75" customHeight="1">
      <c r="H388" s="75"/>
    </row>
    <row r="389" ht="15.75" customHeight="1">
      <c r="H389" s="75"/>
    </row>
    <row r="390" ht="15.75" customHeight="1">
      <c r="H390" s="75"/>
    </row>
    <row r="391" ht="15.75" customHeight="1">
      <c r="H391" s="75"/>
    </row>
    <row r="392" ht="15.75" customHeight="1">
      <c r="H392" s="75"/>
    </row>
    <row r="393" ht="15.75" customHeight="1">
      <c r="H393" s="75"/>
    </row>
    <row r="394" ht="15.75" customHeight="1">
      <c r="H394" s="75"/>
    </row>
    <row r="395" ht="15.75" customHeight="1">
      <c r="H395" s="75"/>
    </row>
    <row r="396" ht="15.75" customHeight="1">
      <c r="H396" s="75"/>
    </row>
    <row r="397" ht="15.75" customHeight="1">
      <c r="H397" s="75"/>
    </row>
    <row r="398" ht="15.75" customHeight="1">
      <c r="H398" s="75"/>
    </row>
    <row r="399" ht="15.75" customHeight="1">
      <c r="H399" s="75"/>
    </row>
    <row r="400" ht="15.75" customHeight="1">
      <c r="H400" s="75"/>
    </row>
    <row r="401" ht="15.75" customHeight="1">
      <c r="H401" s="75"/>
    </row>
    <row r="402" ht="15.75" customHeight="1">
      <c r="H402" s="75"/>
    </row>
    <row r="403" ht="15.75" customHeight="1">
      <c r="H403" s="75"/>
    </row>
    <row r="404" ht="15.75" customHeight="1">
      <c r="H404" s="75"/>
    </row>
    <row r="405" ht="15.75" customHeight="1">
      <c r="H405" s="75"/>
    </row>
    <row r="406" ht="15.75" customHeight="1">
      <c r="H406" s="75"/>
    </row>
    <row r="407" ht="15.75" customHeight="1">
      <c r="H407" s="75"/>
    </row>
    <row r="408" ht="15.75" customHeight="1">
      <c r="H408" s="75"/>
    </row>
    <row r="409" ht="15.75" customHeight="1">
      <c r="H409" s="75"/>
    </row>
    <row r="410" ht="15.75" customHeight="1">
      <c r="H410" s="75"/>
    </row>
    <row r="411" ht="15.75" customHeight="1">
      <c r="H411" s="75"/>
    </row>
    <row r="412" ht="15.75" customHeight="1">
      <c r="H412" s="75"/>
    </row>
    <row r="413" ht="15.75" customHeight="1">
      <c r="H413" s="75"/>
    </row>
    <row r="414" ht="15.75" customHeight="1">
      <c r="H414" s="75"/>
    </row>
    <row r="415" ht="15.75" customHeight="1">
      <c r="H415" s="75"/>
    </row>
    <row r="416" ht="15.75" customHeight="1">
      <c r="H416" s="75"/>
    </row>
    <row r="417" ht="15.75" customHeight="1">
      <c r="H417" s="75"/>
    </row>
    <row r="418" ht="15.75" customHeight="1">
      <c r="H418" s="75"/>
    </row>
    <row r="419" ht="15.75" customHeight="1">
      <c r="H419" s="75"/>
    </row>
    <row r="420" ht="15.75" customHeight="1">
      <c r="H420" s="75"/>
    </row>
    <row r="421" ht="15.75" customHeight="1">
      <c r="H421" s="75"/>
    </row>
    <row r="422" ht="15.75" customHeight="1">
      <c r="H422" s="75"/>
    </row>
    <row r="423" ht="15.75" customHeight="1">
      <c r="H423" s="75"/>
    </row>
    <row r="424" ht="15.75" customHeight="1">
      <c r="H424" s="75"/>
    </row>
    <row r="425" ht="15.75" customHeight="1">
      <c r="H425" s="75"/>
    </row>
    <row r="426" ht="15.75" customHeight="1">
      <c r="H426" s="75"/>
    </row>
    <row r="427" ht="15.75" customHeight="1">
      <c r="H427" s="75"/>
    </row>
    <row r="428" ht="15.75" customHeight="1">
      <c r="H428" s="75"/>
    </row>
    <row r="429" ht="15.75" customHeight="1">
      <c r="H429" s="75"/>
    </row>
    <row r="430" ht="15.75" customHeight="1">
      <c r="H430" s="75"/>
    </row>
    <row r="431" ht="15.75" customHeight="1">
      <c r="H431" s="75"/>
    </row>
    <row r="432" ht="15.75" customHeight="1">
      <c r="H432" s="75"/>
    </row>
    <row r="433" ht="15.75" customHeight="1">
      <c r="H433" s="75"/>
    </row>
    <row r="434" ht="15.75" customHeight="1">
      <c r="H434" s="75"/>
    </row>
    <row r="435" ht="15.75" customHeight="1">
      <c r="H435" s="75"/>
    </row>
    <row r="436" ht="15.75" customHeight="1">
      <c r="H436" s="75"/>
    </row>
    <row r="437" ht="15.75" customHeight="1">
      <c r="H437" s="75"/>
    </row>
    <row r="438" ht="15.75" customHeight="1">
      <c r="H438" s="75"/>
    </row>
    <row r="439" ht="15.75" customHeight="1">
      <c r="H439" s="75"/>
    </row>
    <row r="440" ht="15.75" customHeight="1">
      <c r="H440" s="75"/>
    </row>
    <row r="441" ht="15.75" customHeight="1">
      <c r="H441" s="75"/>
    </row>
    <row r="442" ht="15.75" customHeight="1">
      <c r="H442" s="75"/>
    </row>
    <row r="443" ht="15.75" customHeight="1">
      <c r="H443" s="75"/>
    </row>
    <row r="444" ht="15.75" customHeight="1">
      <c r="H444" s="75"/>
    </row>
    <row r="445" ht="15.75" customHeight="1">
      <c r="H445" s="75"/>
    </row>
    <row r="446" ht="15.75" customHeight="1">
      <c r="H446" s="75"/>
    </row>
    <row r="447" ht="15.75" customHeight="1">
      <c r="H447" s="75"/>
    </row>
    <row r="448" ht="15.75" customHeight="1">
      <c r="H448" s="75"/>
    </row>
    <row r="449" ht="15.75" customHeight="1">
      <c r="H449" s="75"/>
    </row>
    <row r="450" ht="15.75" customHeight="1">
      <c r="H450" s="75"/>
    </row>
    <row r="451" ht="15.75" customHeight="1">
      <c r="H451" s="75"/>
    </row>
    <row r="452" ht="15.75" customHeight="1">
      <c r="H452" s="75"/>
    </row>
    <row r="453" ht="15.75" customHeight="1">
      <c r="H453" s="75"/>
    </row>
    <row r="454" ht="15.75" customHeight="1">
      <c r="H454" s="75"/>
    </row>
    <row r="455" ht="15.75" customHeight="1">
      <c r="H455" s="75"/>
    </row>
    <row r="456" ht="15.75" customHeight="1">
      <c r="H456" s="75"/>
    </row>
    <row r="457" ht="15.75" customHeight="1">
      <c r="H457" s="75"/>
    </row>
    <row r="458" ht="15.75" customHeight="1">
      <c r="H458" s="75"/>
    </row>
    <row r="459" ht="15.75" customHeight="1">
      <c r="H459" s="75"/>
    </row>
    <row r="460" ht="15.75" customHeight="1">
      <c r="H460" s="75"/>
    </row>
    <row r="461" ht="15.75" customHeight="1">
      <c r="H461" s="75"/>
    </row>
    <row r="462" ht="15.75" customHeight="1">
      <c r="H462" s="75"/>
    </row>
    <row r="463" ht="15.75" customHeight="1">
      <c r="H463" s="75"/>
    </row>
    <row r="464" ht="15.75" customHeight="1">
      <c r="H464" s="75"/>
    </row>
    <row r="465" ht="15.75" customHeight="1">
      <c r="H465" s="75"/>
    </row>
    <row r="466" ht="15.75" customHeight="1">
      <c r="H466" s="75"/>
    </row>
    <row r="467" ht="15.75" customHeight="1">
      <c r="H467" s="75"/>
    </row>
    <row r="468" ht="15.75" customHeight="1">
      <c r="H468" s="75"/>
    </row>
    <row r="469" ht="15.75" customHeight="1">
      <c r="H469" s="75"/>
    </row>
    <row r="470" ht="15.75" customHeight="1">
      <c r="H470" s="75"/>
    </row>
    <row r="471" ht="15.75" customHeight="1">
      <c r="H471" s="75"/>
    </row>
    <row r="472" ht="15.75" customHeight="1">
      <c r="H472" s="75"/>
    </row>
    <row r="473" ht="15.75" customHeight="1">
      <c r="H473" s="75"/>
    </row>
    <row r="474" ht="15.75" customHeight="1">
      <c r="H474" s="75"/>
    </row>
    <row r="475" ht="15.75" customHeight="1">
      <c r="H475" s="75"/>
    </row>
    <row r="476" ht="15.75" customHeight="1">
      <c r="H476" s="75"/>
    </row>
    <row r="477" ht="15.75" customHeight="1">
      <c r="H477" s="75"/>
    </row>
    <row r="478" ht="15.75" customHeight="1">
      <c r="H478" s="75"/>
    </row>
    <row r="479" ht="15.75" customHeight="1">
      <c r="H479" s="75"/>
    </row>
    <row r="480" ht="15.75" customHeight="1">
      <c r="H480" s="75"/>
    </row>
    <row r="481" ht="15.75" customHeight="1">
      <c r="H481" s="75"/>
    </row>
    <row r="482" ht="15.75" customHeight="1">
      <c r="H482" s="75"/>
    </row>
    <row r="483" ht="15.75" customHeight="1">
      <c r="H483" s="75"/>
    </row>
    <row r="484" ht="15.75" customHeight="1">
      <c r="H484" s="75"/>
    </row>
    <row r="485" ht="15.75" customHeight="1">
      <c r="H485" s="75"/>
    </row>
    <row r="486" ht="15.75" customHeight="1">
      <c r="H486" s="75"/>
    </row>
    <row r="487" ht="15.75" customHeight="1">
      <c r="H487" s="75"/>
    </row>
    <row r="488" ht="15.75" customHeight="1">
      <c r="H488" s="75"/>
    </row>
    <row r="489" ht="15.75" customHeight="1">
      <c r="H489" s="75"/>
    </row>
    <row r="490" ht="15.75" customHeight="1">
      <c r="H490" s="75"/>
    </row>
    <row r="491" ht="15.75" customHeight="1">
      <c r="H491" s="75"/>
    </row>
    <row r="492" ht="15.75" customHeight="1">
      <c r="H492" s="75"/>
    </row>
    <row r="493" ht="15.75" customHeight="1">
      <c r="H493" s="75"/>
    </row>
    <row r="494" ht="15.75" customHeight="1">
      <c r="H494" s="75"/>
    </row>
    <row r="495" ht="15.75" customHeight="1">
      <c r="H495" s="75"/>
    </row>
    <row r="496" ht="15.75" customHeight="1">
      <c r="H496" s="75"/>
    </row>
    <row r="497" ht="15.75" customHeight="1">
      <c r="H497" s="75"/>
    </row>
    <row r="498" ht="15.75" customHeight="1">
      <c r="H498" s="75"/>
    </row>
    <row r="499" ht="15.75" customHeight="1">
      <c r="H499" s="75"/>
    </row>
    <row r="500" ht="15.75" customHeight="1">
      <c r="H500" s="75"/>
    </row>
    <row r="501" ht="15.75" customHeight="1">
      <c r="H501" s="75"/>
    </row>
    <row r="502" ht="15.75" customHeight="1">
      <c r="H502" s="75"/>
    </row>
    <row r="503" ht="15.75" customHeight="1">
      <c r="H503" s="75"/>
    </row>
    <row r="504" ht="15.75" customHeight="1">
      <c r="H504" s="75"/>
    </row>
    <row r="505" ht="15.75" customHeight="1">
      <c r="H505" s="75"/>
    </row>
    <row r="506" ht="15.75" customHeight="1">
      <c r="H506" s="75"/>
    </row>
    <row r="507" ht="15.75" customHeight="1">
      <c r="H507" s="75"/>
    </row>
    <row r="508" ht="15.75" customHeight="1">
      <c r="H508" s="75"/>
    </row>
    <row r="509" ht="15.75" customHeight="1">
      <c r="H509" s="75"/>
    </row>
    <row r="510" ht="15.75" customHeight="1">
      <c r="H510" s="75"/>
    </row>
    <row r="511" ht="15.75" customHeight="1">
      <c r="H511" s="75"/>
    </row>
    <row r="512" ht="15.75" customHeight="1">
      <c r="H512" s="75"/>
    </row>
    <row r="513" ht="15.75" customHeight="1">
      <c r="H513" s="75"/>
    </row>
    <row r="514" ht="15.75" customHeight="1">
      <c r="H514" s="75"/>
    </row>
    <row r="515" ht="15.75" customHeight="1">
      <c r="H515" s="75"/>
    </row>
    <row r="516" ht="15.75" customHeight="1">
      <c r="H516" s="75"/>
    </row>
    <row r="517" ht="15.75" customHeight="1">
      <c r="H517" s="75"/>
    </row>
    <row r="518" ht="15.75" customHeight="1">
      <c r="H518" s="75"/>
    </row>
    <row r="519" ht="15.75" customHeight="1">
      <c r="H519" s="75"/>
    </row>
    <row r="520" ht="15.75" customHeight="1">
      <c r="H520" s="75"/>
    </row>
    <row r="521" ht="15.75" customHeight="1">
      <c r="H521" s="75"/>
    </row>
    <row r="522" ht="15.75" customHeight="1">
      <c r="H522" s="75"/>
    </row>
    <row r="523" ht="15.75" customHeight="1">
      <c r="H523" s="75"/>
    </row>
    <row r="524" ht="15.75" customHeight="1">
      <c r="H524" s="75"/>
    </row>
    <row r="525" ht="15.75" customHeight="1">
      <c r="H525" s="75"/>
    </row>
    <row r="526" ht="15.75" customHeight="1">
      <c r="H526" s="75"/>
    </row>
    <row r="527" ht="15.75" customHeight="1">
      <c r="H527" s="75"/>
    </row>
    <row r="528" ht="15.75" customHeight="1">
      <c r="H528" s="75"/>
    </row>
    <row r="529" ht="15.75" customHeight="1">
      <c r="H529" s="75"/>
    </row>
    <row r="530" ht="15.75" customHeight="1">
      <c r="H530" s="75"/>
    </row>
    <row r="531" ht="15.75" customHeight="1">
      <c r="H531" s="75"/>
    </row>
    <row r="532" ht="15.75" customHeight="1">
      <c r="H532" s="75"/>
    </row>
    <row r="533" ht="15.75" customHeight="1">
      <c r="H533" s="75"/>
    </row>
    <row r="534" ht="15.75" customHeight="1">
      <c r="H534" s="75"/>
    </row>
    <row r="535" ht="15.75" customHeight="1">
      <c r="H535" s="75"/>
    </row>
    <row r="536" ht="15.75" customHeight="1">
      <c r="H536" s="75"/>
    </row>
    <row r="537" ht="15.75" customHeight="1">
      <c r="H537" s="75"/>
    </row>
    <row r="538" ht="15.75" customHeight="1">
      <c r="H538" s="75"/>
    </row>
    <row r="539" ht="15.75" customHeight="1">
      <c r="H539" s="75"/>
    </row>
    <row r="540" ht="15.75" customHeight="1">
      <c r="H540" s="75"/>
    </row>
    <row r="541" ht="15.75" customHeight="1">
      <c r="H541" s="75"/>
    </row>
    <row r="542" ht="15.75" customHeight="1">
      <c r="H542" s="75"/>
    </row>
    <row r="543" ht="15.75" customHeight="1">
      <c r="H543" s="75"/>
    </row>
    <row r="544" ht="15.75" customHeight="1">
      <c r="H544" s="75"/>
    </row>
    <row r="545" ht="15.75" customHeight="1">
      <c r="H545" s="75"/>
    </row>
    <row r="546" ht="15.75" customHeight="1">
      <c r="H546" s="75"/>
    </row>
    <row r="547" ht="15.75" customHeight="1">
      <c r="H547" s="75"/>
    </row>
    <row r="548" ht="15.75" customHeight="1">
      <c r="H548" s="75"/>
    </row>
    <row r="549" ht="15.75" customHeight="1">
      <c r="H549" s="75"/>
    </row>
    <row r="550" ht="15.75" customHeight="1">
      <c r="H550" s="75"/>
    </row>
    <row r="551" ht="15.75" customHeight="1">
      <c r="H551" s="75"/>
    </row>
    <row r="552" ht="15.75" customHeight="1">
      <c r="H552" s="75"/>
    </row>
    <row r="553" ht="15.75" customHeight="1">
      <c r="H553" s="75"/>
    </row>
    <row r="554" ht="15.75" customHeight="1">
      <c r="H554" s="75"/>
    </row>
    <row r="555" ht="15.75" customHeight="1">
      <c r="H555" s="75"/>
    </row>
    <row r="556" ht="15.75" customHeight="1">
      <c r="H556" s="75"/>
    </row>
    <row r="557" ht="15.75" customHeight="1">
      <c r="H557" s="75"/>
    </row>
    <row r="558" ht="15.75" customHeight="1">
      <c r="H558" s="75"/>
    </row>
    <row r="559" ht="15.75" customHeight="1">
      <c r="H559" s="75"/>
    </row>
    <row r="560" ht="15.75" customHeight="1">
      <c r="H560" s="75"/>
    </row>
    <row r="561" ht="15.75" customHeight="1">
      <c r="H561" s="75"/>
    </row>
    <row r="562" ht="15.75" customHeight="1">
      <c r="H562" s="75"/>
    </row>
    <row r="563" ht="15.75" customHeight="1">
      <c r="H563" s="75"/>
    </row>
    <row r="564" ht="15.75" customHeight="1">
      <c r="H564" s="75"/>
    </row>
    <row r="565" ht="15.75" customHeight="1">
      <c r="H565" s="75"/>
    </row>
    <row r="566" ht="15.75" customHeight="1">
      <c r="H566" s="75"/>
    </row>
    <row r="567" ht="15.75" customHeight="1">
      <c r="H567" s="75"/>
    </row>
    <row r="568" ht="15.75" customHeight="1">
      <c r="H568" s="75"/>
    </row>
    <row r="569" ht="15.75" customHeight="1">
      <c r="H569" s="75"/>
    </row>
    <row r="570" ht="15.75" customHeight="1">
      <c r="H570" s="75"/>
    </row>
    <row r="571" ht="15.75" customHeight="1">
      <c r="H571" s="75"/>
    </row>
    <row r="572" ht="15.75" customHeight="1">
      <c r="H572" s="75"/>
    </row>
    <row r="573" ht="15.75" customHeight="1">
      <c r="H573" s="75"/>
    </row>
    <row r="574" ht="15.75" customHeight="1">
      <c r="H574" s="75"/>
    </row>
    <row r="575" ht="15.75" customHeight="1">
      <c r="H575" s="75"/>
    </row>
    <row r="576" ht="15.75" customHeight="1">
      <c r="H576" s="75"/>
    </row>
    <row r="577" ht="15.75" customHeight="1">
      <c r="H577" s="75"/>
    </row>
    <row r="578" ht="15.75" customHeight="1">
      <c r="H578" s="75"/>
    </row>
    <row r="579" ht="15.75" customHeight="1">
      <c r="H579" s="75"/>
    </row>
    <row r="580" ht="15.75" customHeight="1">
      <c r="H580" s="75"/>
    </row>
    <row r="581" ht="15.75" customHeight="1">
      <c r="H581" s="75"/>
    </row>
    <row r="582" ht="15.75" customHeight="1">
      <c r="H582" s="75"/>
    </row>
    <row r="583" ht="15.75" customHeight="1">
      <c r="H583" s="75"/>
    </row>
    <row r="584" ht="15.75" customHeight="1">
      <c r="H584" s="75"/>
    </row>
    <row r="585" ht="15.75" customHeight="1">
      <c r="H585" s="75"/>
    </row>
    <row r="586" ht="15.75" customHeight="1">
      <c r="H586" s="75"/>
    </row>
    <row r="587" ht="15.75" customHeight="1">
      <c r="H587" s="75"/>
    </row>
    <row r="588" ht="15.75" customHeight="1">
      <c r="H588" s="75"/>
    </row>
    <row r="589" ht="15.75" customHeight="1">
      <c r="H589" s="75"/>
    </row>
    <row r="590" ht="15.75" customHeight="1">
      <c r="H590" s="75"/>
    </row>
    <row r="591" ht="15.75" customHeight="1">
      <c r="H591" s="75"/>
    </row>
    <row r="592" ht="15.75" customHeight="1">
      <c r="H592" s="75"/>
    </row>
    <row r="593" ht="15.75" customHeight="1">
      <c r="H593" s="75"/>
    </row>
    <row r="594" ht="15.75" customHeight="1">
      <c r="H594" s="75"/>
    </row>
    <row r="595" ht="15.75" customHeight="1">
      <c r="H595" s="75"/>
    </row>
    <row r="596" ht="15.75" customHeight="1">
      <c r="H596" s="75"/>
    </row>
    <row r="597" ht="15.75" customHeight="1">
      <c r="H597" s="75"/>
    </row>
    <row r="598" ht="15.75" customHeight="1">
      <c r="H598" s="75"/>
    </row>
    <row r="599" ht="15.75" customHeight="1">
      <c r="H599" s="75"/>
    </row>
    <row r="600" ht="15.75" customHeight="1">
      <c r="H600" s="75"/>
    </row>
    <row r="601" ht="15.75" customHeight="1">
      <c r="H601" s="75"/>
    </row>
    <row r="602" ht="15.75" customHeight="1">
      <c r="H602" s="75"/>
    </row>
    <row r="603" ht="15.75" customHeight="1">
      <c r="H603" s="75"/>
    </row>
    <row r="604" ht="15.75" customHeight="1">
      <c r="H604" s="75"/>
    </row>
    <row r="605" ht="15.75" customHeight="1">
      <c r="H605" s="75"/>
    </row>
    <row r="606" ht="15.75" customHeight="1">
      <c r="H606" s="75"/>
    </row>
    <row r="607" ht="15.75" customHeight="1">
      <c r="H607" s="75"/>
    </row>
    <row r="608" ht="15.75" customHeight="1">
      <c r="H608" s="75"/>
    </row>
    <row r="609" ht="15.75" customHeight="1">
      <c r="H609" s="75"/>
    </row>
    <row r="610" ht="15.75" customHeight="1">
      <c r="H610" s="75"/>
    </row>
    <row r="611" ht="15.75" customHeight="1">
      <c r="H611" s="75"/>
    </row>
    <row r="612" ht="15.75" customHeight="1">
      <c r="H612" s="75"/>
    </row>
    <row r="613" ht="15.75" customHeight="1">
      <c r="H613" s="75"/>
    </row>
    <row r="614" ht="15.75" customHeight="1">
      <c r="H614" s="75"/>
    </row>
    <row r="615" ht="15.75" customHeight="1">
      <c r="H615" s="75"/>
    </row>
    <row r="616" ht="15.75" customHeight="1">
      <c r="H616" s="75"/>
    </row>
    <row r="617" ht="15.75" customHeight="1">
      <c r="H617" s="75"/>
    </row>
    <row r="618" ht="15.75" customHeight="1">
      <c r="H618" s="75"/>
    </row>
    <row r="619" ht="15.75" customHeight="1">
      <c r="H619" s="75"/>
    </row>
    <row r="620" ht="15.75" customHeight="1">
      <c r="H620" s="75"/>
    </row>
    <row r="621" ht="15.75" customHeight="1">
      <c r="H621" s="75"/>
    </row>
    <row r="622" ht="15.75" customHeight="1">
      <c r="H622" s="75"/>
    </row>
    <row r="623" ht="15.75" customHeight="1">
      <c r="H623" s="75"/>
    </row>
    <row r="624" ht="15.75" customHeight="1">
      <c r="H624" s="75"/>
    </row>
    <row r="625" ht="15.75" customHeight="1">
      <c r="H625" s="75"/>
    </row>
    <row r="626" ht="15.75" customHeight="1">
      <c r="H626" s="75"/>
    </row>
    <row r="627" ht="15.75" customHeight="1">
      <c r="H627" s="75"/>
    </row>
    <row r="628" ht="15.75" customHeight="1">
      <c r="H628" s="75"/>
    </row>
    <row r="629" ht="15.75" customHeight="1">
      <c r="H629" s="75"/>
    </row>
    <row r="630" ht="15.75" customHeight="1">
      <c r="H630" s="75"/>
    </row>
    <row r="631" ht="15.75" customHeight="1">
      <c r="H631" s="75"/>
    </row>
    <row r="632" ht="15.75" customHeight="1">
      <c r="H632" s="75"/>
    </row>
    <row r="633" ht="15.75" customHeight="1">
      <c r="H633" s="75"/>
    </row>
    <row r="634" ht="15.75" customHeight="1">
      <c r="H634" s="75"/>
    </row>
    <row r="635" ht="15.75" customHeight="1">
      <c r="H635" s="75"/>
    </row>
    <row r="636" ht="15.75" customHeight="1">
      <c r="H636" s="75"/>
    </row>
    <row r="637" ht="15.75" customHeight="1">
      <c r="H637" s="75"/>
    </row>
    <row r="638" ht="15.75" customHeight="1">
      <c r="H638" s="75"/>
    </row>
    <row r="639" ht="15.75" customHeight="1">
      <c r="H639" s="75"/>
    </row>
    <row r="640" ht="15.75" customHeight="1">
      <c r="H640" s="75"/>
    </row>
    <row r="641" ht="15.75" customHeight="1">
      <c r="H641" s="75"/>
    </row>
    <row r="642" ht="15.75" customHeight="1">
      <c r="H642" s="75"/>
    </row>
    <row r="643" ht="15.75" customHeight="1">
      <c r="H643" s="75"/>
    </row>
    <row r="644" ht="15.75" customHeight="1">
      <c r="H644" s="75"/>
    </row>
    <row r="645" ht="15.75" customHeight="1">
      <c r="H645" s="75"/>
    </row>
    <row r="646" ht="15.75" customHeight="1">
      <c r="H646" s="75"/>
    </row>
    <row r="647" ht="15.75" customHeight="1">
      <c r="H647" s="75"/>
    </row>
    <row r="648" ht="15.75" customHeight="1">
      <c r="H648" s="75"/>
    </row>
    <row r="649" ht="15.75" customHeight="1">
      <c r="H649" s="75"/>
    </row>
    <row r="650" ht="15.75" customHeight="1">
      <c r="H650" s="75"/>
    </row>
    <row r="651" ht="15.75" customHeight="1">
      <c r="H651" s="75"/>
    </row>
    <row r="652" ht="15.75" customHeight="1">
      <c r="H652" s="75"/>
    </row>
    <row r="653" ht="15.75" customHeight="1">
      <c r="H653" s="75"/>
    </row>
    <row r="654" ht="15.75" customHeight="1">
      <c r="H654" s="75"/>
    </row>
    <row r="655" ht="15.75" customHeight="1">
      <c r="H655" s="75"/>
    </row>
    <row r="656" ht="15.75" customHeight="1">
      <c r="H656" s="75"/>
    </row>
    <row r="657" ht="15.75" customHeight="1">
      <c r="H657" s="75"/>
    </row>
    <row r="658" ht="15.75" customHeight="1">
      <c r="H658" s="75"/>
    </row>
    <row r="659" ht="15.75" customHeight="1">
      <c r="H659" s="75"/>
    </row>
    <row r="660" ht="15.75" customHeight="1">
      <c r="H660" s="75"/>
    </row>
    <row r="661" ht="15.75" customHeight="1">
      <c r="H661" s="75"/>
    </row>
    <row r="662" ht="15.75" customHeight="1">
      <c r="H662" s="75"/>
    </row>
    <row r="663" ht="15.75" customHeight="1">
      <c r="H663" s="75"/>
    </row>
    <row r="664" ht="15.75" customHeight="1">
      <c r="H664" s="75"/>
    </row>
    <row r="665" ht="15.75" customHeight="1">
      <c r="H665" s="75"/>
    </row>
    <row r="666" ht="15.75" customHeight="1">
      <c r="H666" s="75"/>
    </row>
    <row r="667" ht="15.75" customHeight="1">
      <c r="H667" s="75"/>
    </row>
    <row r="668" ht="15.75" customHeight="1">
      <c r="H668" s="75"/>
    </row>
    <row r="669" ht="15.75" customHeight="1">
      <c r="H669" s="75"/>
    </row>
    <row r="670" ht="15.75" customHeight="1">
      <c r="H670" s="75"/>
    </row>
    <row r="671" ht="15.75" customHeight="1">
      <c r="H671" s="75"/>
    </row>
    <row r="672" ht="15.75" customHeight="1">
      <c r="H672" s="75"/>
    </row>
    <row r="673" ht="15.75" customHeight="1">
      <c r="H673" s="75"/>
    </row>
    <row r="674" ht="15.75" customHeight="1">
      <c r="H674" s="75"/>
    </row>
    <row r="675" ht="15.75" customHeight="1">
      <c r="H675" s="75"/>
    </row>
    <row r="676" ht="15.75" customHeight="1">
      <c r="H676" s="75"/>
    </row>
    <row r="677" ht="15.75" customHeight="1">
      <c r="H677" s="75"/>
    </row>
    <row r="678" ht="15.75" customHeight="1">
      <c r="H678" s="75"/>
    </row>
    <row r="679" ht="15.75" customHeight="1">
      <c r="H679" s="75"/>
    </row>
    <row r="680" ht="15.75" customHeight="1">
      <c r="H680" s="75"/>
    </row>
    <row r="681" ht="15.75" customHeight="1">
      <c r="H681" s="75"/>
    </row>
    <row r="682" ht="15.75" customHeight="1">
      <c r="H682" s="75"/>
    </row>
    <row r="683" ht="15.75" customHeight="1">
      <c r="H683" s="75"/>
    </row>
    <row r="684" ht="15.75" customHeight="1">
      <c r="H684" s="75"/>
    </row>
    <row r="685" ht="15.75" customHeight="1">
      <c r="H685" s="75"/>
    </row>
    <row r="686" ht="15.75" customHeight="1">
      <c r="H686" s="75"/>
    </row>
    <row r="687" ht="15.75" customHeight="1">
      <c r="H687" s="75"/>
    </row>
    <row r="688" ht="15.75" customHeight="1">
      <c r="H688" s="75"/>
    </row>
    <row r="689" ht="15.75" customHeight="1">
      <c r="H689" s="75"/>
    </row>
    <row r="690" ht="15.75" customHeight="1">
      <c r="H690" s="75"/>
    </row>
    <row r="691" ht="15.75" customHeight="1">
      <c r="H691" s="75"/>
    </row>
    <row r="692" ht="15.75" customHeight="1">
      <c r="H692" s="75"/>
    </row>
    <row r="693" ht="15.75" customHeight="1">
      <c r="H693" s="75"/>
    </row>
    <row r="694" ht="15.75" customHeight="1">
      <c r="H694" s="75"/>
    </row>
    <row r="695" ht="15.75" customHeight="1">
      <c r="H695" s="75"/>
    </row>
    <row r="696" ht="15.75" customHeight="1">
      <c r="H696" s="75"/>
    </row>
    <row r="697" ht="15.75" customHeight="1">
      <c r="H697" s="75"/>
    </row>
    <row r="698" ht="15.75" customHeight="1">
      <c r="H698" s="75"/>
    </row>
    <row r="699" ht="15.75" customHeight="1">
      <c r="H699" s="75"/>
    </row>
    <row r="700" ht="15.75" customHeight="1">
      <c r="H700" s="75"/>
    </row>
    <row r="701" ht="15.75" customHeight="1">
      <c r="H701" s="75"/>
    </row>
    <row r="702" ht="15.75" customHeight="1">
      <c r="H702" s="75"/>
    </row>
    <row r="703" ht="15.75" customHeight="1">
      <c r="H703" s="75"/>
    </row>
    <row r="704" ht="15.75" customHeight="1">
      <c r="H704" s="75"/>
    </row>
    <row r="705" ht="15.75" customHeight="1">
      <c r="H705" s="75"/>
    </row>
    <row r="706" ht="15.75" customHeight="1">
      <c r="H706" s="75"/>
    </row>
    <row r="707" ht="15.75" customHeight="1">
      <c r="H707" s="75"/>
    </row>
    <row r="708" ht="15.75" customHeight="1">
      <c r="H708" s="75"/>
    </row>
    <row r="709" ht="15.75" customHeight="1">
      <c r="H709" s="75"/>
    </row>
    <row r="710" ht="15.75" customHeight="1">
      <c r="H710" s="75"/>
    </row>
    <row r="711" ht="15.75" customHeight="1">
      <c r="H711" s="75"/>
    </row>
    <row r="712" ht="15.75" customHeight="1">
      <c r="H712" s="75"/>
    </row>
    <row r="713" ht="15.75" customHeight="1">
      <c r="H713" s="75"/>
    </row>
    <row r="714" ht="15.75" customHeight="1">
      <c r="H714" s="75"/>
    </row>
    <row r="715" ht="15.75" customHeight="1">
      <c r="H715" s="75"/>
    </row>
    <row r="716" ht="15.75" customHeight="1">
      <c r="H716" s="75"/>
    </row>
    <row r="717" ht="15.75" customHeight="1">
      <c r="H717" s="75"/>
    </row>
    <row r="718" ht="15.75" customHeight="1">
      <c r="H718" s="75"/>
    </row>
    <row r="719" ht="15.75" customHeight="1">
      <c r="H719" s="75"/>
    </row>
    <row r="720" ht="15.75" customHeight="1">
      <c r="H720" s="75"/>
    </row>
    <row r="721" ht="15.75" customHeight="1">
      <c r="H721" s="75"/>
    </row>
    <row r="722" ht="15.75" customHeight="1">
      <c r="H722" s="75"/>
    </row>
    <row r="723" ht="15.75" customHeight="1">
      <c r="H723" s="75"/>
    </row>
    <row r="724" ht="15.75" customHeight="1">
      <c r="H724" s="75"/>
    </row>
    <row r="725" ht="15.75" customHeight="1">
      <c r="H725" s="75"/>
    </row>
    <row r="726" ht="15.75" customHeight="1">
      <c r="H726" s="75"/>
    </row>
    <row r="727" ht="15.75" customHeight="1">
      <c r="H727" s="75"/>
    </row>
    <row r="728" ht="15.75" customHeight="1">
      <c r="H728" s="75"/>
    </row>
    <row r="729" ht="15.75" customHeight="1">
      <c r="H729" s="75"/>
    </row>
    <row r="730" ht="15.75" customHeight="1">
      <c r="H730" s="75"/>
    </row>
    <row r="731" ht="15.75" customHeight="1">
      <c r="H731" s="75"/>
    </row>
    <row r="732" ht="15.75" customHeight="1">
      <c r="H732" s="75"/>
    </row>
    <row r="733" ht="15.75" customHeight="1">
      <c r="H733" s="75"/>
    </row>
    <row r="734" ht="15.75" customHeight="1">
      <c r="H734" s="75"/>
    </row>
    <row r="735" ht="15.75" customHeight="1">
      <c r="H735" s="75"/>
    </row>
    <row r="736" ht="15.75" customHeight="1">
      <c r="H736" s="75"/>
    </row>
    <row r="737" ht="15.75" customHeight="1">
      <c r="H737" s="75"/>
    </row>
    <row r="738" ht="15.75" customHeight="1">
      <c r="H738" s="75"/>
    </row>
    <row r="739" ht="15.75" customHeight="1">
      <c r="H739" s="75"/>
    </row>
    <row r="740" ht="15.75" customHeight="1">
      <c r="H740" s="75"/>
    </row>
    <row r="741" ht="15.75" customHeight="1">
      <c r="H741" s="75"/>
    </row>
    <row r="742" ht="15.75" customHeight="1">
      <c r="H742" s="75"/>
    </row>
    <row r="743" ht="15.75" customHeight="1">
      <c r="H743" s="75"/>
    </row>
    <row r="744" ht="15.75" customHeight="1">
      <c r="H744" s="75"/>
    </row>
    <row r="745" ht="15.75" customHeight="1">
      <c r="H745" s="75"/>
    </row>
    <row r="746" ht="15.75" customHeight="1">
      <c r="H746" s="75"/>
    </row>
    <row r="747" ht="15.75" customHeight="1">
      <c r="H747" s="75"/>
    </row>
    <row r="748" ht="15.75" customHeight="1">
      <c r="H748" s="75"/>
    </row>
    <row r="749" ht="15.75" customHeight="1">
      <c r="H749" s="75"/>
    </row>
    <row r="750" ht="15.75" customHeight="1">
      <c r="H750" s="75"/>
    </row>
    <row r="751" ht="15.75" customHeight="1">
      <c r="H751" s="75"/>
    </row>
    <row r="752" ht="15.75" customHeight="1">
      <c r="H752" s="75"/>
    </row>
    <row r="753" ht="15.75" customHeight="1">
      <c r="H753" s="75"/>
    </row>
    <row r="754" ht="15.75" customHeight="1">
      <c r="H754" s="75"/>
    </row>
    <row r="755" ht="15.75" customHeight="1">
      <c r="H755" s="75"/>
    </row>
    <row r="756" ht="15.75" customHeight="1">
      <c r="H756" s="75"/>
    </row>
    <row r="757" ht="15.75" customHeight="1">
      <c r="H757" s="75"/>
    </row>
    <row r="758" ht="15.75" customHeight="1">
      <c r="H758" s="75"/>
    </row>
    <row r="759" ht="15.75" customHeight="1">
      <c r="H759" s="75"/>
    </row>
    <row r="760" ht="15.75" customHeight="1">
      <c r="H760" s="75"/>
    </row>
    <row r="761" ht="15.75" customHeight="1">
      <c r="H761" s="75"/>
    </row>
    <row r="762" ht="15.75" customHeight="1">
      <c r="H762" s="75"/>
    </row>
    <row r="763" ht="15.75" customHeight="1">
      <c r="H763" s="75"/>
    </row>
    <row r="764" ht="15.75" customHeight="1">
      <c r="H764" s="75"/>
    </row>
    <row r="765" ht="15.75" customHeight="1">
      <c r="H765" s="75"/>
    </row>
    <row r="766" ht="15.75" customHeight="1">
      <c r="H766" s="75"/>
    </row>
    <row r="767" ht="15.75" customHeight="1">
      <c r="H767" s="75"/>
    </row>
    <row r="768" ht="15.75" customHeight="1">
      <c r="H768" s="75"/>
    </row>
    <row r="769" ht="15.75" customHeight="1">
      <c r="H769" s="75"/>
    </row>
    <row r="770" ht="15.75" customHeight="1">
      <c r="H770" s="75"/>
    </row>
    <row r="771" ht="15.75" customHeight="1">
      <c r="H771" s="75"/>
    </row>
    <row r="772" ht="15.75" customHeight="1">
      <c r="H772" s="75"/>
    </row>
    <row r="773" ht="15.75" customHeight="1">
      <c r="H773" s="75"/>
    </row>
    <row r="774" ht="15.75" customHeight="1">
      <c r="H774" s="75"/>
    </row>
    <row r="775" ht="15.75" customHeight="1">
      <c r="H775" s="75"/>
    </row>
    <row r="776" ht="15.75" customHeight="1">
      <c r="H776" s="75"/>
    </row>
    <row r="777" ht="15.75" customHeight="1">
      <c r="H777" s="75"/>
    </row>
    <row r="778" ht="15.75" customHeight="1">
      <c r="H778" s="75"/>
    </row>
    <row r="779" ht="15.75" customHeight="1">
      <c r="H779" s="75"/>
    </row>
    <row r="780" ht="15.75" customHeight="1">
      <c r="H780" s="75"/>
    </row>
    <row r="781" ht="15.75" customHeight="1">
      <c r="H781" s="75"/>
    </row>
    <row r="782" ht="15.75" customHeight="1">
      <c r="H782" s="75"/>
    </row>
    <row r="783" ht="15.75" customHeight="1">
      <c r="H783" s="75"/>
    </row>
    <row r="784" ht="15.75" customHeight="1">
      <c r="H784" s="75"/>
    </row>
    <row r="785" ht="15.75" customHeight="1">
      <c r="H785" s="75"/>
    </row>
    <row r="786" ht="15.75" customHeight="1">
      <c r="H786" s="75"/>
    </row>
    <row r="787" ht="15.75" customHeight="1">
      <c r="H787" s="75"/>
    </row>
    <row r="788" ht="15.75" customHeight="1">
      <c r="H788" s="75"/>
    </row>
    <row r="789" ht="15.75" customHeight="1">
      <c r="H789" s="75"/>
    </row>
    <row r="790" ht="15.75" customHeight="1">
      <c r="H790" s="75"/>
    </row>
    <row r="791" ht="15.75" customHeight="1">
      <c r="H791" s="75"/>
    </row>
    <row r="792" ht="15.75" customHeight="1">
      <c r="H792" s="75"/>
    </row>
    <row r="793" ht="15.75" customHeight="1">
      <c r="H793" s="75"/>
    </row>
    <row r="794" ht="15.75" customHeight="1">
      <c r="H794" s="75"/>
    </row>
    <row r="795" ht="15.75" customHeight="1">
      <c r="H795" s="75"/>
    </row>
    <row r="796" ht="15.75" customHeight="1">
      <c r="H796" s="75"/>
    </row>
    <row r="797" ht="15.75" customHeight="1">
      <c r="H797" s="75"/>
    </row>
    <row r="798" ht="15.75" customHeight="1">
      <c r="H798" s="75"/>
    </row>
    <row r="799" ht="15.75" customHeight="1">
      <c r="H799" s="75"/>
    </row>
    <row r="800" ht="15.75" customHeight="1">
      <c r="H800" s="75"/>
    </row>
    <row r="801" ht="15.75" customHeight="1">
      <c r="H801" s="75"/>
    </row>
    <row r="802" ht="15.75" customHeight="1">
      <c r="H802" s="75"/>
    </row>
    <row r="803" ht="15.75" customHeight="1">
      <c r="H803" s="75"/>
    </row>
    <row r="804" ht="15.75" customHeight="1">
      <c r="H804" s="75"/>
    </row>
    <row r="805" ht="15.75" customHeight="1">
      <c r="H805" s="75"/>
    </row>
    <row r="806" ht="15.75" customHeight="1">
      <c r="H806" s="75"/>
    </row>
    <row r="807" ht="15.75" customHeight="1">
      <c r="H807" s="75"/>
    </row>
    <row r="808" ht="15.75" customHeight="1">
      <c r="H808" s="75"/>
    </row>
    <row r="809" ht="15.75" customHeight="1">
      <c r="H809" s="75"/>
    </row>
    <row r="810" ht="15.75" customHeight="1">
      <c r="H810" s="75"/>
    </row>
    <row r="811" ht="15.75" customHeight="1">
      <c r="H811" s="75"/>
    </row>
    <row r="812" ht="15.75" customHeight="1">
      <c r="H812" s="75"/>
    </row>
    <row r="813" ht="15.75" customHeight="1">
      <c r="H813" s="75"/>
    </row>
    <row r="814" ht="15.75" customHeight="1">
      <c r="H814" s="75"/>
    </row>
    <row r="815" ht="15.75" customHeight="1">
      <c r="H815" s="75"/>
    </row>
    <row r="816" ht="15.75" customHeight="1">
      <c r="H816" s="75"/>
    </row>
    <row r="817" ht="15.75" customHeight="1">
      <c r="H817" s="75"/>
    </row>
    <row r="818" ht="15.75" customHeight="1">
      <c r="H818" s="75"/>
    </row>
    <row r="819" ht="15.75" customHeight="1">
      <c r="H819" s="75"/>
    </row>
    <row r="820" ht="15.75" customHeight="1">
      <c r="H820" s="75"/>
    </row>
    <row r="821" ht="15.75" customHeight="1">
      <c r="H821" s="75"/>
    </row>
    <row r="822" ht="15.75" customHeight="1">
      <c r="H822" s="75"/>
    </row>
    <row r="823" ht="15.75" customHeight="1">
      <c r="H823" s="75"/>
    </row>
    <row r="824" ht="15.75" customHeight="1">
      <c r="H824" s="75"/>
    </row>
    <row r="825" ht="15.75" customHeight="1">
      <c r="H825" s="75"/>
    </row>
    <row r="826" ht="15.75" customHeight="1">
      <c r="H826" s="75"/>
    </row>
    <row r="827" ht="15.75" customHeight="1">
      <c r="H827" s="75"/>
    </row>
    <row r="828" ht="15.75" customHeight="1">
      <c r="H828" s="75"/>
    </row>
    <row r="829" ht="15.75" customHeight="1">
      <c r="H829" s="75"/>
    </row>
    <row r="830" ht="15.75" customHeight="1">
      <c r="H830" s="75"/>
    </row>
    <row r="831" ht="15.75" customHeight="1">
      <c r="H831" s="75"/>
    </row>
    <row r="832" ht="15.75" customHeight="1">
      <c r="H832" s="75"/>
    </row>
    <row r="833" ht="15.75" customHeight="1">
      <c r="H833" s="75"/>
    </row>
    <row r="834" ht="15.75" customHeight="1">
      <c r="H834" s="75"/>
    </row>
    <row r="835" ht="15.75" customHeight="1">
      <c r="H835" s="75"/>
    </row>
    <row r="836" ht="15.75" customHeight="1">
      <c r="H836" s="75"/>
    </row>
    <row r="837" ht="15.75" customHeight="1">
      <c r="H837" s="75"/>
    </row>
    <row r="838" ht="15.75" customHeight="1">
      <c r="H838" s="75"/>
    </row>
    <row r="839" ht="15.75" customHeight="1">
      <c r="H839" s="75"/>
    </row>
    <row r="840" ht="15.75" customHeight="1">
      <c r="H840" s="75"/>
    </row>
    <row r="841" ht="15.75" customHeight="1">
      <c r="H841" s="75"/>
    </row>
    <row r="842" ht="15.75" customHeight="1">
      <c r="H842" s="75"/>
    </row>
    <row r="843" ht="15.75" customHeight="1">
      <c r="H843" s="75"/>
    </row>
    <row r="844" ht="15.75" customHeight="1">
      <c r="H844" s="75"/>
    </row>
    <row r="845" ht="15.75" customHeight="1">
      <c r="H845" s="75"/>
    </row>
    <row r="846" ht="15.75" customHeight="1">
      <c r="H846" s="75"/>
    </row>
    <row r="847" ht="15.75" customHeight="1">
      <c r="H847" s="75"/>
    </row>
    <row r="848" ht="15.75" customHeight="1">
      <c r="H848" s="75"/>
    </row>
    <row r="849" ht="15.75" customHeight="1">
      <c r="H849" s="75"/>
    </row>
    <row r="850" ht="15.75" customHeight="1">
      <c r="H850" s="75"/>
    </row>
    <row r="851" ht="15.75" customHeight="1">
      <c r="H851" s="75"/>
    </row>
    <row r="852" ht="15.75" customHeight="1">
      <c r="H852" s="75"/>
    </row>
    <row r="853" ht="15.75" customHeight="1">
      <c r="H853" s="75"/>
    </row>
    <row r="854" ht="15.75" customHeight="1">
      <c r="H854" s="75"/>
    </row>
    <row r="855" ht="15.75" customHeight="1">
      <c r="H855" s="75"/>
    </row>
    <row r="856" ht="15.75" customHeight="1">
      <c r="H856" s="75"/>
    </row>
    <row r="857" ht="15.75" customHeight="1">
      <c r="H857" s="75"/>
    </row>
    <row r="858" ht="15.75" customHeight="1">
      <c r="H858" s="75"/>
    </row>
    <row r="859" ht="15.75" customHeight="1">
      <c r="H859" s="75"/>
    </row>
    <row r="860" ht="15.75" customHeight="1">
      <c r="H860" s="75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25"/>
    <col customWidth="1" min="2" max="2" width="38.38"/>
    <col customWidth="1" min="3" max="3" width="12.25"/>
    <col customWidth="1" min="4" max="4" width="11.5"/>
    <col customWidth="1" min="5" max="5" width="12.63"/>
  </cols>
  <sheetData>
    <row r="1">
      <c r="A1" s="379" t="s">
        <v>241</v>
      </c>
      <c r="H1" s="380"/>
      <c r="I1" s="380"/>
      <c r="J1" s="380"/>
    </row>
    <row r="2">
      <c r="A2" s="381" t="s">
        <v>242</v>
      </c>
      <c r="H2" s="380"/>
      <c r="I2" s="380"/>
      <c r="J2" s="380"/>
    </row>
    <row r="3">
      <c r="A3" s="380"/>
      <c r="B3" s="380"/>
      <c r="C3" s="380"/>
      <c r="D3" s="380"/>
      <c r="E3" s="380"/>
      <c r="F3" s="380"/>
      <c r="G3" s="380"/>
      <c r="H3" s="380"/>
      <c r="I3" s="380"/>
      <c r="J3" s="380"/>
    </row>
    <row r="4">
      <c r="A4" s="382" t="s">
        <v>243</v>
      </c>
    </row>
    <row r="5">
      <c r="A5" s="382" t="s">
        <v>244</v>
      </c>
    </row>
    <row r="6">
      <c r="A6" s="382" t="s">
        <v>245</v>
      </c>
    </row>
    <row r="7">
      <c r="A7" s="382" t="s">
        <v>246</v>
      </c>
    </row>
    <row r="8">
      <c r="A8" s="380"/>
      <c r="B8" s="380"/>
      <c r="C8" s="380"/>
      <c r="D8" s="380"/>
      <c r="E8" s="380"/>
      <c r="F8" s="380"/>
      <c r="G8" s="380"/>
      <c r="H8" s="380"/>
      <c r="I8" s="380"/>
      <c r="J8" s="380"/>
    </row>
    <row r="9">
      <c r="A9" s="383" t="s">
        <v>247</v>
      </c>
    </row>
    <row r="10">
      <c r="A10" s="383" t="s">
        <v>248</v>
      </c>
    </row>
    <row r="11">
      <c r="A11" s="380"/>
      <c r="B11" s="380"/>
      <c r="C11" s="380"/>
      <c r="D11" s="380"/>
      <c r="E11" s="380"/>
      <c r="F11" s="380"/>
      <c r="G11" s="380"/>
      <c r="H11" s="380"/>
      <c r="I11" s="380"/>
      <c r="J11" s="380"/>
    </row>
    <row r="12">
      <c r="A12" s="384" t="s">
        <v>249</v>
      </c>
      <c r="B12" s="384" t="s">
        <v>250</v>
      </c>
      <c r="C12" s="384" t="s">
        <v>251</v>
      </c>
      <c r="D12" s="384" t="s">
        <v>252</v>
      </c>
      <c r="E12" s="384" t="s">
        <v>253</v>
      </c>
      <c r="F12" s="385" t="s">
        <v>254</v>
      </c>
      <c r="G12" s="99"/>
      <c r="H12" s="384" t="s">
        <v>255</v>
      </c>
      <c r="I12" s="384" t="s">
        <v>256</v>
      </c>
      <c r="J12" s="384" t="s">
        <v>257</v>
      </c>
    </row>
    <row r="13" ht="40.5" customHeight="1">
      <c r="A13" s="386"/>
      <c r="B13" s="386"/>
      <c r="C13" s="386"/>
      <c r="D13" s="386"/>
      <c r="E13" s="386"/>
      <c r="F13" s="384" t="s">
        <v>258</v>
      </c>
      <c r="G13" s="387" t="s">
        <v>259</v>
      </c>
      <c r="H13" s="386"/>
      <c r="I13" s="386"/>
      <c r="J13" s="386"/>
    </row>
    <row r="14">
      <c r="A14" s="388">
        <f t="shared" ref="A14:A28" si="1">COUNTA($B$14:B14)</f>
        <v>1</v>
      </c>
      <c r="B14" s="389" t="s">
        <v>92</v>
      </c>
      <c r="C14" s="390">
        <v>1.0</v>
      </c>
      <c r="D14" s="390">
        <v>1.0</v>
      </c>
      <c r="E14" s="391">
        <v>600000.0</v>
      </c>
      <c r="F14" s="392"/>
      <c r="G14" s="392"/>
      <c r="H14" s="393">
        <f t="shared" ref="H14:H28" si="2">E14*D14*C14</f>
        <v>600000</v>
      </c>
      <c r="I14" s="393">
        <f t="shared" ref="I14:I28" si="3">H14*12</f>
        <v>7200000</v>
      </c>
      <c r="J14" s="394">
        <f>I14*1.48</f>
        <v>10656000</v>
      </c>
    </row>
    <row r="15">
      <c r="A15" s="388">
        <f t="shared" si="1"/>
        <v>2</v>
      </c>
      <c r="B15" s="389" t="s">
        <v>260</v>
      </c>
      <c r="C15" s="390">
        <v>1.0</v>
      </c>
      <c r="D15" s="388">
        <v>1.0</v>
      </c>
      <c r="E15" s="391">
        <v>625000.0</v>
      </c>
      <c r="F15" s="392"/>
      <c r="G15" s="392"/>
      <c r="H15" s="393">
        <f t="shared" si="2"/>
        <v>625000</v>
      </c>
      <c r="I15" s="393">
        <f t="shared" si="3"/>
        <v>7500000</v>
      </c>
      <c r="J15" s="394">
        <f t="shared" ref="J15:J28" si="4">I15*1.17</f>
        <v>8775000</v>
      </c>
    </row>
    <row r="16">
      <c r="A16" s="388">
        <f t="shared" si="1"/>
        <v>3</v>
      </c>
      <c r="B16" s="389" t="s">
        <v>261</v>
      </c>
      <c r="C16" s="390">
        <v>1.0</v>
      </c>
      <c r="D16" s="388">
        <v>1.0</v>
      </c>
      <c r="E16" s="391">
        <v>450000.0</v>
      </c>
      <c r="F16" s="392"/>
      <c r="G16" s="392"/>
      <c r="H16" s="393">
        <f t="shared" si="2"/>
        <v>450000</v>
      </c>
      <c r="I16" s="393">
        <f t="shared" si="3"/>
        <v>5400000</v>
      </c>
      <c r="J16" s="394">
        <f t="shared" si="4"/>
        <v>6318000</v>
      </c>
    </row>
    <row r="17">
      <c r="A17" s="388">
        <f t="shared" si="1"/>
        <v>4</v>
      </c>
      <c r="B17" s="389" t="s">
        <v>98</v>
      </c>
      <c r="C17" s="390">
        <v>1.0</v>
      </c>
      <c r="D17" s="388">
        <v>0.5</v>
      </c>
      <c r="E17" s="391">
        <v>300000.0</v>
      </c>
      <c r="F17" s="392"/>
      <c r="G17" s="392"/>
      <c r="H17" s="393">
        <f t="shared" si="2"/>
        <v>150000</v>
      </c>
      <c r="I17" s="393">
        <f t="shared" si="3"/>
        <v>1800000</v>
      </c>
      <c r="J17" s="394">
        <f t="shared" si="4"/>
        <v>2106000</v>
      </c>
    </row>
    <row r="18">
      <c r="A18" s="388">
        <f t="shared" si="1"/>
        <v>5</v>
      </c>
      <c r="B18" s="389" t="s">
        <v>262</v>
      </c>
      <c r="C18" s="390">
        <v>1.0</v>
      </c>
      <c r="D18" s="388">
        <v>1.0</v>
      </c>
      <c r="E18" s="391">
        <v>350000.0</v>
      </c>
      <c r="F18" s="392"/>
      <c r="G18" s="392"/>
      <c r="H18" s="393">
        <f t="shared" si="2"/>
        <v>350000</v>
      </c>
      <c r="I18" s="393">
        <f t="shared" si="3"/>
        <v>4200000</v>
      </c>
      <c r="J18" s="394">
        <f t="shared" si="4"/>
        <v>4914000</v>
      </c>
    </row>
    <row r="19">
      <c r="A19" s="388">
        <f t="shared" si="1"/>
        <v>6</v>
      </c>
      <c r="B19" s="389" t="s">
        <v>263</v>
      </c>
      <c r="C19" s="390">
        <v>1.0</v>
      </c>
      <c r="D19" s="388">
        <v>1.0</v>
      </c>
      <c r="E19" s="395">
        <v>250000.0</v>
      </c>
      <c r="F19" s="392"/>
      <c r="G19" s="392"/>
      <c r="H19" s="393">
        <f t="shared" si="2"/>
        <v>250000</v>
      </c>
      <c r="I19" s="393">
        <f t="shared" si="3"/>
        <v>3000000</v>
      </c>
      <c r="J19" s="394">
        <f t="shared" si="4"/>
        <v>3510000</v>
      </c>
    </row>
    <row r="20">
      <c r="A20" s="388">
        <f t="shared" si="1"/>
        <v>7</v>
      </c>
      <c r="B20" s="389" t="s">
        <v>264</v>
      </c>
      <c r="C20" s="388">
        <v>1.0</v>
      </c>
      <c r="D20" s="388">
        <v>1.0</v>
      </c>
      <c r="E20" s="388">
        <v>300000.0</v>
      </c>
      <c r="F20" s="392"/>
      <c r="G20" s="392"/>
      <c r="H20" s="393">
        <f t="shared" si="2"/>
        <v>300000</v>
      </c>
      <c r="I20" s="393">
        <f t="shared" si="3"/>
        <v>3600000</v>
      </c>
      <c r="J20" s="394">
        <f t="shared" si="4"/>
        <v>4212000</v>
      </c>
    </row>
    <row r="21">
      <c r="A21" s="388">
        <f t="shared" si="1"/>
        <v>8</v>
      </c>
      <c r="B21" s="389" t="s">
        <v>102</v>
      </c>
      <c r="C21" s="388">
        <v>1.0</v>
      </c>
      <c r="D21" s="388">
        <v>1.0</v>
      </c>
      <c r="E21" s="388">
        <v>250000.0</v>
      </c>
      <c r="F21" s="392"/>
      <c r="G21" s="392"/>
      <c r="H21" s="393">
        <f t="shared" si="2"/>
        <v>250000</v>
      </c>
      <c r="I21" s="393">
        <f t="shared" si="3"/>
        <v>3000000</v>
      </c>
      <c r="J21" s="394">
        <f t="shared" si="4"/>
        <v>3510000</v>
      </c>
    </row>
    <row r="22">
      <c r="A22" s="388">
        <f t="shared" si="1"/>
        <v>9</v>
      </c>
      <c r="B22" s="389" t="s">
        <v>104</v>
      </c>
      <c r="C22" s="388">
        <v>1.0</v>
      </c>
      <c r="D22" s="388">
        <v>0.5</v>
      </c>
      <c r="E22" s="388">
        <v>250000.0</v>
      </c>
      <c r="F22" s="392"/>
      <c r="G22" s="392"/>
      <c r="H22" s="393">
        <f t="shared" si="2"/>
        <v>125000</v>
      </c>
      <c r="I22" s="393">
        <f t="shared" si="3"/>
        <v>1500000</v>
      </c>
      <c r="J22" s="394">
        <f t="shared" si="4"/>
        <v>1755000</v>
      </c>
    </row>
    <row r="23">
      <c r="A23" s="388">
        <f t="shared" si="1"/>
        <v>10</v>
      </c>
      <c r="B23" s="396" t="s">
        <v>265</v>
      </c>
      <c r="C23" s="397">
        <v>1.0</v>
      </c>
      <c r="D23" s="388">
        <v>1.0</v>
      </c>
      <c r="E23" s="388">
        <v>250000.0</v>
      </c>
      <c r="F23" s="392"/>
      <c r="G23" s="392"/>
      <c r="H23" s="393">
        <f t="shared" si="2"/>
        <v>250000</v>
      </c>
      <c r="I23" s="393">
        <f t="shared" si="3"/>
        <v>3000000</v>
      </c>
      <c r="J23" s="394">
        <f t="shared" si="4"/>
        <v>3510000</v>
      </c>
    </row>
    <row r="24">
      <c r="A24" s="388">
        <f t="shared" si="1"/>
        <v>11</v>
      </c>
      <c r="B24" s="396" t="s">
        <v>266</v>
      </c>
      <c r="C24" s="388">
        <v>1.0</v>
      </c>
      <c r="D24" s="398">
        <v>1.0</v>
      </c>
      <c r="E24" s="398">
        <v>520000.0</v>
      </c>
      <c r="F24" s="392"/>
      <c r="G24" s="392"/>
      <c r="H24" s="393">
        <f t="shared" si="2"/>
        <v>520000</v>
      </c>
      <c r="I24" s="393">
        <f t="shared" si="3"/>
        <v>6240000</v>
      </c>
      <c r="J24" s="394">
        <f t="shared" si="4"/>
        <v>7300800</v>
      </c>
    </row>
    <row r="25">
      <c r="A25" s="388">
        <f t="shared" si="1"/>
        <v>12</v>
      </c>
      <c r="B25" s="389" t="s">
        <v>111</v>
      </c>
      <c r="C25" s="388">
        <v>1.0</v>
      </c>
      <c r="D25" s="388">
        <v>0.25</v>
      </c>
      <c r="E25" s="388">
        <v>150000.0</v>
      </c>
      <c r="F25" s="392"/>
      <c r="G25" s="392"/>
      <c r="H25" s="393">
        <f t="shared" si="2"/>
        <v>37500</v>
      </c>
      <c r="I25" s="393">
        <f t="shared" si="3"/>
        <v>450000</v>
      </c>
      <c r="J25" s="394">
        <f t="shared" si="4"/>
        <v>526500</v>
      </c>
    </row>
    <row r="26">
      <c r="A26" s="388">
        <f t="shared" si="1"/>
        <v>13</v>
      </c>
      <c r="B26" s="389" t="s">
        <v>267</v>
      </c>
      <c r="C26" s="388">
        <v>1.0</v>
      </c>
      <c r="D26" s="388">
        <v>0.5</v>
      </c>
      <c r="E26" s="388">
        <v>200000.0</v>
      </c>
      <c r="F26" s="392"/>
      <c r="G26" s="392"/>
      <c r="H26" s="393">
        <f t="shared" si="2"/>
        <v>100000</v>
      </c>
      <c r="I26" s="393">
        <f t="shared" si="3"/>
        <v>1200000</v>
      </c>
      <c r="J26" s="394">
        <f t="shared" si="4"/>
        <v>1404000</v>
      </c>
    </row>
    <row r="27">
      <c r="A27" s="388">
        <f t="shared" si="1"/>
        <v>14</v>
      </c>
      <c r="B27" s="389" t="s">
        <v>268</v>
      </c>
      <c r="C27" s="388">
        <v>1.0</v>
      </c>
      <c r="D27" s="398">
        <v>0.5</v>
      </c>
      <c r="E27" s="398">
        <v>200000.0</v>
      </c>
      <c r="F27" s="399"/>
      <c r="G27" s="392"/>
      <c r="H27" s="393">
        <f t="shared" si="2"/>
        <v>100000</v>
      </c>
      <c r="I27" s="393">
        <f t="shared" si="3"/>
        <v>1200000</v>
      </c>
      <c r="J27" s="394">
        <f t="shared" si="4"/>
        <v>1404000</v>
      </c>
      <c r="K27" s="374" t="s">
        <v>269</v>
      </c>
    </row>
    <row r="28">
      <c r="A28" s="388">
        <f t="shared" si="1"/>
        <v>15</v>
      </c>
      <c r="B28" s="400" t="s">
        <v>270</v>
      </c>
      <c r="C28" s="398">
        <v>1.0</v>
      </c>
      <c r="D28" s="398">
        <v>1.0</v>
      </c>
      <c r="E28" s="398">
        <v>250000.0</v>
      </c>
      <c r="F28" s="399"/>
      <c r="G28" s="401"/>
      <c r="H28" s="393">
        <f t="shared" si="2"/>
        <v>250000</v>
      </c>
      <c r="I28" s="393">
        <f t="shared" si="3"/>
        <v>3000000</v>
      </c>
      <c r="J28" s="394">
        <f t="shared" si="4"/>
        <v>3510000</v>
      </c>
      <c r="K28" s="402">
        <f t="shared" ref="K28:M28" si="5">SUM(H14:H28)</f>
        <v>4357500</v>
      </c>
      <c r="L28" s="402">
        <f t="shared" si="5"/>
        <v>52290000</v>
      </c>
      <c r="M28" s="373">
        <f t="shared" si="5"/>
        <v>63411300</v>
      </c>
    </row>
    <row r="29">
      <c r="A29" s="403"/>
      <c r="B29" s="404"/>
      <c r="C29" s="405"/>
      <c r="D29" s="405"/>
      <c r="E29" s="405"/>
      <c r="F29" s="406"/>
      <c r="G29" s="407"/>
      <c r="H29" s="408"/>
      <c r="I29" s="408"/>
      <c r="J29" s="394"/>
      <c r="K29" s="409"/>
      <c r="L29" s="409"/>
      <c r="M29" s="409"/>
      <c r="N29" s="409"/>
      <c r="O29" s="409"/>
      <c r="P29" s="409"/>
      <c r="Q29" s="409"/>
      <c r="R29" s="409"/>
      <c r="S29" s="409"/>
      <c r="T29" s="409"/>
      <c r="U29" s="409"/>
      <c r="V29" s="409"/>
      <c r="W29" s="409"/>
      <c r="X29" s="409"/>
      <c r="Y29" s="409"/>
      <c r="Z29" s="409"/>
    </row>
    <row r="30">
      <c r="A30" s="403">
        <f>COUNTA($B$14:B31)</f>
        <v>17</v>
      </c>
      <c r="B30" s="410" t="s">
        <v>105</v>
      </c>
      <c r="C30" s="405">
        <v>5.0</v>
      </c>
      <c r="D30" s="403">
        <v>1.0</v>
      </c>
      <c r="E30" s="403">
        <v>250000.0</v>
      </c>
      <c r="F30" s="411"/>
      <c r="G30" s="411"/>
      <c r="H30" s="412">
        <f>E30*D30*C30</f>
        <v>1250000</v>
      </c>
      <c r="I30" s="412">
        <f t="shared" ref="I30:I51" si="6">H30*12</f>
        <v>15000000</v>
      </c>
      <c r="J30" s="394">
        <f>I30*1.17</f>
        <v>17550000</v>
      </c>
    </row>
    <row r="31">
      <c r="A31" s="413">
        <f t="shared" ref="A31:A51" si="7">COUNTA($B$14:B31)</f>
        <v>17</v>
      </c>
      <c r="B31" s="414" t="s">
        <v>271</v>
      </c>
      <c r="C31" s="413">
        <v>1.0</v>
      </c>
      <c r="D31" s="415">
        <f t="shared" ref="D31:D51" si="8">F31/720</f>
        <v>0.8</v>
      </c>
      <c r="E31" s="416">
        <f>'Расчет часов, ставок на препод '!M4</f>
        <v>194400</v>
      </c>
      <c r="F31" s="417">
        <f>'Расчет часов, ставок на препод '!I4</f>
        <v>576</v>
      </c>
      <c r="G31" s="418"/>
      <c r="H31" s="419">
        <f>'Расчет часов, ставок на препод '!L4</f>
        <v>155520</v>
      </c>
      <c r="I31" s="420">
        <f t="shared" si="6"/>
        <v>1866240</v>
      </c>
      <c r="J31" s="421"/>
    </row>
    <row r="32">
      <c r="A32" s="413">
        <f t="shared" si="7"/>
        <v>18</v>
      </c>
      <c r="B32" s="422" t="s">
        <v>272</v>
      </c>
      <c r="C32" s="413">
        <v>1.0</v>
      </c>
      <c r="D32" s="415">
        <f t="shared" si="8"/>
        <v>0.8</v>
      </c>
      <c r="E32" s="416">
        <f>'Расчет часов, ставок на препод '!M5</f>
        <v>194400</v>
      </c>
      <c r="F32" s="417">
        <f>'Расчет часов, ставок на препод '!I5</f>
        <v>576</v>
      </c>
      <c r="G32" s="418"/>
      <c r="H32" s="419">
        <f>'Расчет часов, ставок на препод '!L5</f>
        <v>155520</v>
      </c>
      <c r="I32" s="420">
        <f t="shared" si="6"/>
        <v>1866240</v>
      </c>
      <c r="J32" s="421"/>
    </row>
    <row r="33">
      <c r="A33" s="413">
        <f t="shared" si="7"/>
        <v>19</v>
      </c>
      <c r="B33" s="423" t="s">
        <v>273</v>
      </c>
      <c r="C33" s="413">
        <v>1.0</v>
      </c>
      <c r="D33" s="415">
        <f t="shared" si="8"/>
        <v>0.8</v>
      </c>
      <c r="E33" s="416">
        <f>'Расчет часов, ставок на препод '!M6</f>
        <v>194400</v>
      </c>
      <c r="F33" s="417">
        <f>'Расчет часов, ставок на препод '!I6</f>
        <v>576</v>
      </c>
      <c r="G33" s="418"/>
      <c r="H33" s="419">
        <f>'Расчет часов, ставок на препод '!L6</f>
        <v>155520</v>
      </c>
      <c r="I33" s="420">
        <f t="shared" si="6"/>
        <v>1866240</v>
      </c>
      <c r="J33" s="421"/>
    </row>
    <row r="34">
      <c r="A34" s="413">
        <f t="shared" si="7"/>
        <v>20</v>
      </c>
      <c r="B34" s="424" t="s">
        <v>274</v>
      </c>
      <c r="C34" s="413">
        <v>1.0</v>
      </c>
      <c r="D34" s="415">
        <f t="shared" si="8"/>
        <v>0.8</v>
      </c>
      <c r="E34" s="416">
        <f>'Расчет часов, ставок на препод '!M7</f>
        <v>194400</v>
      </c>
      <c r="F34" s="417">
        <f>'Расчет часов, ставок на препод '!I7</f>
        <v>576</v>
      </c>
      <c r="G34" s="418"/>
      <c r="H34" s="419">
        <f>'Расчет часов, ставок на препод '!L7</f>
        <v>155520</v>
      </c>
      <c r="I34" s="420">
        <f t="shared" si="6"/>
        <v>1866240</v>
      </c>
      <c r="J34" s="421"/>
    </row>
    <row r="35">
      <c r="A35" s="413">
        <f t="shared" si="7"/>
        <v>21</v>
      </c>
      <c r="B35" s="424" t="s">
        <v>275</v>
      </c>
      <c r="C35" s="413">
        <v>1.0</v>
      </c>
      <c r="D35" s="415">
        <f t="shared" si="8"/>
        <v>0.6</v>
      </c>
      <c r="E35" s="416">
        <f>'Расчет часов, ставок на препод '!M8</f>
        <v>194400</v>
      </c>
      <c r="F35" s="417">
        <f>'Расчет часов, ставок на препод '!I8</f>
        <v>432</v>
      </c>
      <c r="G35" s="418"/>
      <c r="H35" s="419">
        <f>'Расчет часов, ставок на препод '!L8</f>
        <v>116640</v>
      </c>
      <c r="I35" s="420">
        <f t="shared" si="6"/>
        <v>1399680</v>
      </c>
      <c r="J35" s="421"/>
    </row>
    <row r="36">
      <c r="A36" s="413">
        <f t="shared" si="7"/>
        <v>22</v>
      </c>
      <c r="B36" s="424" t="s">
        <v>276</v>
      </c>
      <c r="C36" s="413">
        <v>1.0</v>
      </c>
      <c r="D36" s="415">
        <f t="shared" si="8"/>
        <v>1</v>
      </c>
      <c r="E36" s="416">
        <f>'Расчет часов, ставок на препод '!M9</f>
        <v>194400</v>
      </c>
      <c r="F36" s="417">
        <f>'Расчет часов, ставок на препод '!I9</f>
        <v>720</v>
      </c>
      <c r="G36" s="418"/>
      <c r="H36" s="419">
        <f>'Расчет часов, ставок на препод '!L9</f>
        <v>194400</v>
      </c>
      <c r="I36" s="420">
        <f t="shared" si="6"/>
        <v>2332800</v>
      </c>
      <c r="J36" s="421"/>
    </row>
    <row r="37">
      <c r="A37" s="413">
        <f t="shared" si="7"/>
        <v>23</v>
      </c>
      <c r="B37" s="424" t="s">
        <v>277</v>
      </c>
      <c r="C37" s="413">
        <v>1.0</v>
      </c>
      <c r="D37" s="415">
        <f t="shared" si="8"/>
        <v>0.6</v>
      </c>
      <c r="E37" s="416">
        <f>'Расчет часов, ставок на препод '!M10</f>
        <v>194400</v>
      </c>
      <c r="F37" s="417">
        <f>'Расчет часов, ставок на препод '!I10</f>
        <v>432</v>
      </c>
      <c r="G37" s="418"/>
      <c r="H37" s="419">
        <f>'Расчет часов, ставок на препод '!L10</f>
        <v>116640</v>
      </c>
      <c r="I37" s="420">
        <f t="shared" si="6"/>
        <v>1399680</v>
      </c>
      <c r="J37" s="421"/>
    </row>
    <row r="38">
      <c r="A38" s="413">
        <f t="shared" si="7"/>
        <v>24</v>
      </c>
      <c r="B38" s="424" t="s">
        <v>278</v>
      </c>
      <c r="C38" s="413">
        <v>1.0</v>
      </c>
      <c r="D38" s="415">
        <f t="shared" si="8"/>
        <v>0.4</v>
      </c>
      <c r="E38" s="416">
        <f>'Расчет часов, ставок на препод '!M11</f>
        <v>288000</v>
      </c>
      <c r="F38" s="417">
        <f>'Расчет часов, ставок на препод '!I11</f>
        <v>288</v>
      </c>
      <c r="G38" s="418"/>
      <c r="H38" s="419">
        <f>'Расчет часов, ставок на препод '!L11</f>
        <v>115200</v>
      </c>
      <c r="I38" s="420">
        <f t="shared" si="6"/>
        <v>1382400</v>
      </c>
      <c r="J38" s="421"/>
    </row>
    <row r="39">
      <c r="A39" s="413">
        <f t="shared" si="7"/>
        <v>25</v>
      </c>
      <c r="B39" s="424" t="s">
        <v>279</v>
      </c>
      <c r="C39" s="413">
        <v>1.0</v>
      </c>
      <c r="D39" s="415">
        <f t="shared" si="8"/>
        <v>0.5</v>
      </c>
      <c r="E39" s="416">
        <f>'Расчет часов, ставок на препод '!M12</f>
        <v>288000</v>
      </c>
      <c r="F39" s="417">
        <f>'Расчет часов, ставок на препод '!I12</f>
        <v>360</v>
      </c>
      <c r="G39" s="418"/>
      <c r="H39" s="419">
        <f>'Расчет часов, ставок на препод '!L12</f>
        <v>144000</v>
      </c>
      <c r="I39" s="420">
        <f t="shared" si="6"/>
        <v>1728000</v>
      </c>
      <c r="J39" s="421"/>
    </row>
    <row r="40">
      <c r="A40" s="413">
        <f t="shared" si="7"/>
        <v>26</v>
      </c>
      <c r="B40" s="424" t="s">
        <v>280</v>
      </c>
      <c r="C40" s="413">
        <v>1.0</v>
      </c>
      <c r="D40" s="415">
        <f t="shared" si="8"/>
        <v>0.8</v>
      </c>
      <c r="E40" s="416">
        <f>'Расчет часов, ставок на препод '!M13</f>
        <v>194400</v>
      </c>
      <c r="F40" s="417">
        <f>'Расчет часов, ставок на препод '!I13</f>
        <v>576</v>
      </c>
      <c r="G40" s="418"/>
      <c r="H40" s="419">
        <f>'Расчет часов, ставок на препод '!L13</f>
        <v>155520</v>
      </c>
      <c r="I40" s="420">
        <f t="shared" si="6"/>
        <v>1866240</v>
      </c>
      <c r="J40" s="421"/>
    </row>
    <row r="41">
      <c r="A41" s="413">
        <f t="shared" si="7"/>
        <v>27</v>
      </c>
      <c r="B41" s="424" t="s">
        <v>281</v>
      </c>
      <c r="C41" s="413">
        <v>1.0</v>
      </c>
      <c r="D41" s="415">
        <f t="shared" si="8"/>
        <v>0.4</v>
      </c>
      <c r="E41" s="416">
        <f>'Расчет часов, ставок на препод '!M14</f>
        <v>288000</v>
      </c>
      <c r="F41" s="417">
        <f>'Расчет часов, ставок на препод '!I14</f>
        <v>288</v>
      </c>
      <c r="G41" s="418"/>
      <c r="H41" s="419">
        <f>'Расчет часов, ставок на препод '!L14</f>
        <v>115200</v>
      </c>
      <c r="I41" s="420">
        <f t="shared" si="6"/>
        <v>1382400</v>
      </c>
      <c r="J41" s="421"/>
    </row>
    <row r="42">
      <c r="A42" s="413">
        <f t="shared" si="7"/>
        <v>28</v>
      </c>
      <c r="B42" s="424" t="s">
        <v>282</v>
      </c>
      <c r="C42" s="413">
        <v>1.0</v>
      </c>
      <c r="D42" s="415">
        <f t="shared" si="8"/>
        <v>0.2</v>
      </c>
      <c r="E42" s="416">
        <f>'Расчет часов, ставок на препод '!M15</f>
        <v>288000</v>
      </c>
      <c r="F42" s="417">
        <f>'Расчет часов, ставок на препод '!I15</f>
        <v>144</v>
      </c>
      <c r="G42" s="418"/>
      <c r="H42" s="419">
        <f>'Расчет часов, ставок на препод '!L15</f>
        <v>57600</v>
      </c>
      <c r="I42" s="420">
        <f t="shared" si="6"/>
        <v>691200</v>
      </c>
      <c r="J42" s="421"/>
    </row>
    <row r="43">
      <c r="A43" s="413">
        <f t="shared" si="7"/>
        <v>29</v>
      </c>
      <c r="B43" s="424" t="s">
        <v>283</v>
      </c>
      <c r="C43" s="413">
        <v>1.0</v>
      </c>
      <c r="D43" s="415">
        <f t="shared" si="8"/>
        <v>0.3</v>
      </c>
      <c r="E43" s="416">
        <f>'Расчет часов, ставок на препод '!M16</f>
        <v>288000</v>
      </c>
      <c r="F43" s="417">
        <f>'Расчет часов, ставок на препод '!I16</f>
        <v>216</v>
      </c>
      <c r="G43" s="418"/>
      <c r="H43" s="419">
        <f>'Расчет часов, ставок на препод '!L16</f>
        <v>86400</v>
      </c>
      <c r="I43" s="420">
        <f t="shared" si="6"/>
        <v>1036800</v>
      </c>
      <c r="J43" s="421"/>
    </row>
    <row r="44">
      <c r="A44" s="413">
        <f t="shared" si="7"/>
        <v>30</v>
      </c>
      <c r="B44" s="424" t="s">
        <v>284</v>
      </c>
      <c r="C44" s="413">
        <v>1.0</v>
      </c>
      <c r="D44" s="415">
        <f t="shared" si="8"/>
        <v>0.3</v>
      </c>
      <c r="E44" s="416">
        <f>'Расчет часов, ставок на препод '!M17</f>
        <v>288000</v>
      </c>
      <c r="F44" s="417">
        <f>'Расчет часов, ставок на препод '!I17</f>
        <v>216</v>
      </c>
      <c r="G44" s="418"/>
      <c r="H44" s="419">
        <f>'Расчет часов, ставок на препод '!L17</f>
        <v>86400</v>
      </c>
      <c r="I44" s="420">
        <f t="shared" si="6"/>
        <v>1036800</v>
      </c>
      <c r="J44" s="421"/>
    </row>
    <row r="45">
      <c r="A45" s="413">
        <f t="shared" si="7"/>
        <v>31</v>
      </c>
      <c r="B45" s="425" t="s">
        <v>285</v>
      </c>
      <c r="C45" s="413">
        <v>1.0</v>
      </c>
      <c r="D45" s="415">
        <f t="shared" si="8"/>
        <v>0.2</v>
      </c>
      <c r="E45" s="416">
        <f>'Расчет часов, ставок на препод '!M18</f>
        <v>194400</v>
      </c>
      <c r="F45" s="417">
        <f>'Расчет часов, ставок на препод '!I18</f>
        <v>144</v>
      </c>
      <c r="G45" s="418"/>
      <c r="H45" s="419">
        <f>'Расчет часов, ставок на препод '!L18</f>
        <v>38880</v>
      </c>
      <c r="I45" s="420">
        <f t="shared" si="6"/>
        <v>466560</v>
      </c>
      <c r="J45" s="421"/>
    </row>
    <row r="46">
      <c r="A46" s="413">
        <f t="shared" si="7"/>
        <v>32</v>
      </c>
      <c r="B46" s="424" t="s">
        <v>286</v>
      </c>
      <c r="C46" s="413">
        <v>1.0</v>
      </c>
      <c r="D46" s="415">
        <f t="shared" si="8"/>
        <v>0.6</v>
      </c>
      <c r="E46" s="416">
        <f>'Расчет часов, ставок на препод '!M19</f>
        <v>194400</v>
      </c>
      <c r="F46" s="417">
        <f>'Расчет часов, ставок на препод '!I19</f>
        <v>432</v>
      </c>
      <c r="G46" s="418"/>
      <c r="H46" s="419">
        <f>'Расчет часов, ставок на препод '!L19</f>
        <v>116640</v>
      </c>
      <c r="I46" s="420">
        <f t="shared" si="6"/>
        <v>1399680</v>
      </c>
      <c r="J46" s="421"/>
    </row>
    <row r="47">
      <c r="A47" s="413">
        <f t="shared" si="7"/>
        <v>33</v>
      </c>
      <c r="B47" s="426" t="s">
        <v>287</v>
      </c>
      <c r="C47" s="413">
        <v>1.0</v>
      </c>
      <c r="D47" s="415">
        <f t="shared" si="8"/>
        <v>0.975</v>
      </c>
      <c r="E47" s="416">
        <f>'Расчет часов, ставок на препод '!M20</f>
        <v>288000</v>
      </c>
      <c r="F47" s="417">
        <f>'Расчет часов, ставок на препод '!I40+'Расчет часов, ставок на препод '!I44+'Расчет часов, ставок на препод '!I48+'Расчет часов, ставок на препод '!I52+'Расчет часов, ставок на препод '!I56</f>
        <v>702</v>
      </c>
      <c r="G47" s="418"/>
      <c r="H47" s="419">
        <f>'Расчет часов, ставок на препод '!L20</f>
        <v>38400</v>
      </c>
      <c r="I47" s="420">
        <f t="shared" si="6"/>
        <v>460800</v>
      </c>
      <c r="J47" s="421"/>
    </row>
    <row r="48">
      <c r="A48" s="413">
        <f t="shared" si="7"/>
        <v>34</v>
      </c>
      <c r="B48" s="427" t="s">
        <v>288</v>
      </c>
      <c r="C48" s="413">
        <v>1.0</v>
      </c>
      <c r="D48" s="415">
        <f t="shared" si="8"/>
        <v>0.775</v>
      </c>
      <c r="E48" s="416">
        <v>194400.0</v>
      </c>
      <c r="F48" s="417">
        <f>'Расчет часов, ставок на препод '!I41+'Расчет часов, ставок на препод '!I45+'Расчет часов, ставок на препод '!I49+'Расчет часов, ставок на препод '!I53+'Расчет часов, ставок на препод '!I57</f>
        <v>558</v>
      </c>
      <c r="G48" s="418"/>
      <c r="H48" s="419">
        <f>'Расчет часов, ставок на препод '!L39</f>
        <v>2983680</v>
      </c>
      <c r="I48" s="420">
        <f t="shared" si="6"/>
        <v>35804160</v>
      </c>
      <c r="J48" s="421"/>
    </row>
    <row r="49">
      <c r="A49" s="413">
        <f t="shared" si="7"/>
        <v>35</v>
      </c>
      <c r="B49" s="427" t="s">
        <v>289</v>
      </c>
      <c r="C49" s="413">
        <v>1.0</v>
      </c>
      <c r="D49" s="415">
        <f t="shared" si="8"/>
        <v>0.3555555556</v>
      </c>
      <c r="E49" s="416">
        <f>'Расчет часов, ставок на препод '!M40</f>
        <v>288000</v>
      </c>
      <c r="F49" s="417">
        <f>'Расчет часов, ставок на препод '!I42+'Расчет часов, ставок на препод '!I46+'Расчет часов, ставок на препод '!I50+'Расчет часов, ставок на препод '!I54+'Расчет часов, ставок на препод '!I58</f>
        <v>256</v>
      </c>
      <c r="G49" s="415"/>
      <c r="H49" s="419">
        <f>'Расчет часов, ставок на препод '!L40</f>
        <v>76800</v>
      </c>
      <c r="I49" s="420">
        <f t="shared" si="6"/>
        <v>921600</v>
      </c>
      <c r="J49" s="421"/>
    </row>
    <row r="50">
      <c r="A50" s="413">
        <f t="shared" si="7"/>
        <v>36</v>
      </c>
      <c r="B50" s="427" t="s">
        <v>290</v>
      </c>
      <c r="C50" s="413">
        <v>1.0</v>
      </c>
      <c r="D50" s="415">
        <f t="shared" si="8"/>
        <v>0.7083333333</v>
      </c>
      <c r="E50" s="416">
        <f>'Расчет часов, ставок на препод '!M41</f>
        <v>288000</v>
      </c>
      <c r="F50" s="417">
        <f>'Расчет часов, ставок на препод '!I43+'Расчет часов, ставок на препод '!I47+'Расчет часов, ставок на препод '!I51+'Расчет часов, ставок на препод '!I55+'Расчет часов, ставок на препод '!I59</f>
        <v>510</v>
      </c>
      <c r="G50" s="415"/>
      <c r="H50" s="419">
        <f>'Расчет часов, ставок на препод '!L41</f>
        <v>76800</v>
      </c>
      <c r="I50" s="420">
        <f t="shared" si="6"/>
        <v>921600</v>
      </c>
      <c r="J50" s="421"/>
    </row>
    <row r="51">
      <c r="A51" s="413">
        <f t="shared" si="7"/>
        <v>37</v>
      </c>
      <c r="B51" s="414" t="s">
        <v>291</v>
      </c>
      <c r="C51" s="428">
        <v>16.0</v>
      </c>
      <c r="D51" s="415">
        <f t="shared" si="8"/>
        <v>0</v>
      </c>
      <c r="E51" s="413">
        <v>350000.0</v>
      </c>
      <c r="F51" s="420" t="str">
        <f>'Расчет часов, ставок на препод '!N135</f>
        <v/>
      </c>
      <c r="G51" s="420"/>
      <c r="H51" s="419">
        <f>(E51*D51)+(F51*G51/12)</f>
        <v>0</v>
      </c>
      <c r="I51" s="420">
        <f t="shared" si="6"/>
        <v>0</v>
      </c>
      <c r="J51" s="421"/>
    </row>
    <row r="52">
      <c r="A52" s="380"/>
      <c r="B52" s="429" t="s">
        <v>203</v>
      </c>
      <c r="C52" s="380"/>
      <c r="D52" s="380"/>
      <c r="E52" s="380"/>
      <c r="F52" s="380"/>
      <c r="G52" s="380"/>
      <c r="H52" s="430">
        <f t="shared" ref="H52:I52" si="9">SUM(H14:H51)</f>
        <v>10748780</v>
      </c>
      <c r="I52" s="430">
        <f t="shared" si="9"/>
        <v>128985360</v>
      </c>
      <c r="J52" s="380"/>
    </row>
    <row r="53">
      <c r="A53" s="380"/>
      <c r="B53" s="380"/>
      <c r="C53" s="380"/>
      <c r="D53" s="380"/>
      <c r="E53" s="380"/>
      <c r="F53" s="380"/>
      <c r="G53" s="380"/>
      <c r="H53" s="380"/>
      <c r="I53" s="380"/>
      <c r="J53" s="380"/>
    </row>
    <row r="54">
      <c r="A54" s="429" t="s">
        <v>292</v>
      </c>
      <c r="I54" s="380"/>
      <c r="J54" s="380"/>
    </row>
    <row r="55">
      <c r="A55" s="431" t="s">
        <v>293</v>
      </c>
      <c r="G55" s="380"/>
      <c r="H55" s="380"/>
      <c r="I55" s="380"/>
      <c r="J55" s="380"/>
    </row>
  </sheetData>
  <mergeCells count="19">
    <mergeCell ref="A1:G1"/>
    <mergeCell ref="A2:G2"/>
    <mergeCell ref="A4:J4"/>
    <mergeCell ref="A5:J5"/>
    <mergeCell ref="A6:J6"/>
    <mergeCell ref="A7:J7"/>
    <mergeCell ref="A9:J9"/>
    <mergeCell ref="H12:H13"/>
    <mergeCell ref="I12:I13"/>
    <mergeCell ref="A54:H54"/>
    <mergeCell ref="A55:F55"/>
    <mergeCell ref="A10:J10"/>
    <mergeCell ref="A12:A13"/>
    <mergeCell ref="B12:B13"/>
    <mergeCell ref="C12:C13"/>
    <mergeCell ref="D12:D13"/>
    <mergeCell ref="E12:E13"/>
    <mergeCell ref="F12:G12"/>
    <mergeCell ref="J12:J13"/>
  </mergeCells>
  <drawing r:id="rId1"/>
</worksheet>
</file>