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рафик уч проц" sheetId="1" r:id="rId5"/>
    <sheet state="visible" name="Структура рабочего учебного пла" sheetId="2" r:id="rId6"/>
  </sheets>
  <definedNames/>
  <calcPr/>
</workbook>
</file>

<file path=xl/sharedStrings.xml><?xml version="1.0" encoding="utf-8"?>
<sst xmlns="http://schemas.openxmlformats.org/spreadsheetml/2006/main" count="480" uniqueCount="245">
  <si>
    <t>ТОО "КОЛЛЕДЖ ХЕКСЛЕТ"</t>
  </si>
  <si>
    <t>курсы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</si>
  <si>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</si>
  <si>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</si>
  <si>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</si>
  <si>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</si>
  <si>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</si>
  <si>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</si>
  <si>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</si>
  <si>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</si>
  <si>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</si>
  <si>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</si>
  <si>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</si>
  <si>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</si>
  <si>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недели</t>
  </si>
  <si>
    <t>30 IX</t>
  </si>
  <si>
    <t>28 X</t>
  </si>
  <si>
    <t>30 XII</t>
  </si>
  <si>
    <t>31 III</t>
  </si>
  <si>
    <t>28 IV</t>
  </si>
  <si>
    <t>30 VI</t>
  </si>
  <si>
    <t>28 VII</t>
  </si>
  <si>
    <t>4 X</t>
  </si>
  <si>
    <t>1 XI</t>
  </si>
  <si>
    <t>3 I</t>
  </si>
  <si>
    <t>4 IV</t>
  </si>
  <si>
    <t>2 V</t>
  </si>
  <si>
    <t>4 VII</t>
  </si>
  <si>
    <t>1 VIII</t>
  </si>
  <si>
    <t xml:space="preserve">№нед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</si>
  <si>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</t>
  </si>
  <si>
    <t>ТО</t>
  </si>
  <si>
    <t>К</t>
  </si>
  <si>
    <t>ПС</t>
  </si>
  <si>
    <t>ПА</t>
  </si>
  <si>
    <t>Пдн</t>
  </si>
  <si>
    <t>II</t>
  </si>
  <si>
    <t>ПП</t>
  </si>
  <si>
    <t>III</t>
  </si>
  <si>
    <t>IV</t>
  </si>
  <si>
    <t>ПО</t>
  </si>
  <si>
    <t>ДП</t>
  </si>
  <si>
    <t>ИА</t>
  </si>
  <si>
    <t>Обозначения:</t>
  </si>
  <si>
    <t>- теоретическое обучение</t>
  </si>
  <si>
    <t>- производственное обучение</t>
  </si>
  <si>
    <t>- профессиональная практика</t>
  </si>
  <si>
    <t>- промежуточная аттестация</t>
  </si>
  <si>
    <t>- каникулы</t>
  </si>
  <si>
    <t>- праздничные дни</t>
  </si>
  <si>
    <t>- итоговая аттестация</t>
  </si>
  <si>
    <t>- полевые сборы</t>
  </si>
  <si>
    <t>- Дипломное проектирование</t>
  </si>
  <si>
    <t>Теоретическое обучение</t>
  </si>
  <si>
    <t>Промежуточная аттестация</t>
  </si>
  <si>
    <t>Производственное обучение и профессиональная практика</t>
  </si>
  <si>
    <t>Дипломное проектирование</t>
  </si>
  <si>
    <t>Итоговая аттестация</t>
  </si>
  <si>
    <t>Праздничные дни</t>
  </si>
  <si>
    <t>Каникулы</t>
  </si>
  <si>
    <t>Всего недель в учебном году</t>
  </si>
  <si>
    <t>недель</t>
  </si>
  <si>
    <t>кредиты</t>
  </si>
  <si>
    <t>часов</t>
  </si>
  <si>
    <t>ИТОГО</t>
  </si>
  <si>
    <t>Структура рабочего учебного плана</t>
  </si>
  <si>
    <t>Объем учебного времени</t>
  </si>
  <si>
    <t>Распределение по курсам и семестрам</t>
  </si>
  <si>
    <t>Индекс</t>
  </si>
  <si>
    <t>Наименование модулей / дисциплин</t>
  </si>
  <si>
    <t>Формы контроля</t>
  </si>
  <si>
    <t>Самостоятельная работа студента</t>
  </si>
  <si>
    <t>в том числе</t>
  </si>
  <si>
    <t>1 курс</t>
  </si>
  <si>
    <t>2 курс</t>
  </si>
  <si>
    <t>3 курс</t>
  </si>
  <si>
    <t>4 курс</t>
  </si>
  <si>
    <t>экзамен</t>
  </si>
  <si>
    <t>зачет</t>
  </si>
  <si>
    <t>контрольная работа</t>
  </si>
  <si>
    <t>Всего кредитов</t>
  </si>
  <si>
    <t>Всего часов</t>
  </si>
  <si>
    <t>Производственное обучение/ Профессиональная практика</t>
  </si>
  <si>
    <t>Индивидуальные</t>
  </si>
  <si>
    <t>Семестры</t>
  </si>
  <si>
    <t>остаток часов на семестр</t>
  </si>
  <si>
    <t>теоретические</t>
  </si>
  <si>
    <t>лабораторно-практические</t>
  </si>
  <si>
    <t>курсовой проект/работа</t>
  </si>
  <si>
    <t>самостоятельная работа студента с педагогом</t>
  </si>
  <si>
    <t>1 сем</t>
  </si>
  <si>
    <t>2 сем</t>
  </si>
  <si>
    <t>3 сем</t>
  </si>
  <si>
    <t>4 сем</t>
  </si>
  <si>
    <t>5 сем</t>
  </si>
  <si>
    <t>6 сем</t>
  </si>
  <si>
    <t>7 сем</t>
  </si>
  <si>
    <t>8 сем</t>
  </si>
  <si>
    <t>ООД 00</t>
  </si>
  <si>
    <t>Модуль "Общеобразовательные дисциплины"</t>
  </si>
  <si>
    <t>ООД 01</t>
  </si>
  <si>
    <t>Казахский язык и литература</t>
  </si>
  <si>
    <t>ООД 02</t>
  </si>
  <si>
    <t>Русский язык</t>
  </si>
  <si>
    <t>ООД 03</t>
  </si>
  <si>
    <t>Русская литература</t>
  </si>
  <si>
    <t>ООД 04</t>
  </si>
  <si>
    <t>Иностранный язык</t>
  </si>
  <si>
    <t>ООД 05</t>
  </si>
  <si>
    <t>История Казахстана</t>
  </si>
  <si>
    <t>ООД 06</t>
  </si>
  <si>
    <t>Математика</t>
  </si>
  <si>
    <t>ООД 07</t>
  </si>
  <si>
    <t>Информатика</t>
  </si>
  <si>
    <t>ООД 08</t>
  </si>
  <si>
    <t xml:space="preserve">Начальная военная и технологическая подготовка </t>
  </si>
  <si>
    <t>ООД 09</t>
  </si>
  <si>
    <t>Физическая культура</t>
  </si>
  <si>
    <t>ООД 10</t>
  </si>
  <si>
    <t>Физика</t>
  </si>
  <si>
    <t>ООД 11</t>
  </si>
  <si>
    <t>Химия</t>
  </si>
  <si>
    <t>ООД 12</t>
  </si>
  <si>
    <t>География</t>
  </si>
  <si>
    <t>ООД 13</t>
  </si>
  <si>
    <t>Биология</t>
  </si>
  <si>
    <t>ООД 14</t>
  </si>
  <si>
    <t>Всемирная история</t>
  </si>
  <si>
    <t>ООД 15</t>
  </si>
  <si>
    <t>Курс "Глобальные компетенции"</t>
  </si>
  <si>
    <t>ООД 16</t>
  </si>
  <si>
    <t>Графика и проектирование</t>
  </si>
  <si>
    <t>ПА 01</t>
  </si>
  <si>
    <t>Итого ООД</t>
  </si>
  <si>
    <t>ООМ 1</t>
  </si>
  <si>
    <t>Развитие и совершенствование физических качеств
/ Физическая культура</t>
  </si>
  <si>
    <t xml:space="preserve">РО 1.1. Укреплять здоровье и соблюдать принципы здорового образа жизни.   </t>
  </si>
  <si>
    <t xml:space="preserve"> РО 1.2. Совершенствовать физические качества и психофизиологические способности. </t>
  </si>
  <si>
    <t xml:space="preserve">Итого теоретического обучения </t>
  </si>
  <si>
    <r>
      <rPr>
        <rFont val="Times New Roman"/>
        <b/>
        <color rgb="FF000000"/>
        <sz val="11.0"/>
      </rPr>
      <t>Итого практического обучения</t>
    </r>
  </si>
  <si>
    <t>Всего за ООМ 1</t>
  </si>
  <si>
    <t>ООМ 2</t>
  </si>
  <si>
    <t>Применение информационно-коммуникационных и цифровых технологий</t>
  </si>
  <si>
    <t xml:space="preserve">РО 2.1. Владеть основами информационно-коммуникационных технологий. </t>
  </si>
  <si>
    <t>РО 2.2. Использовать услуги информационно-справочных и интерактивных веб-порталов.</t>
  </si>
  <si>
    <t>РО 2.3. Владеть навыками использования ИИ для обработки данных и оптимизации процессов.</t>
  </si>
  <si>
    <r>
      <rPr>
        <rFont val="Times New Roman"/>
        <b/>
        <color rgb="FF000000"/>
        <sz val="11.0"/>
      </rPr>
      <t>Итого практического обучения</t>
    </r>
  </si>
  <si>
    <t>Всего за ООМ 2</t>
  </si>
  <si>
    <t>ООМ 3</t>
  </si>
  <si>
    <t xml:space="preserve">Применение базовых знаний экономики и основ предпринимательства 
/ Основы экономики </t>
  </si>
  <si>
    <t>РО 3.1. Владеть основными вопросами в области экономической теории.</t>
  </si>
  <si>
    <t>РО 3.2. Анализировать и оценивать экономические процессы, происходящие на предприятии.
 (Экономика предприятия)</t>
  </si>
  <si>
    <t>РО 3.3. Понимать тенденции развития мировой экономики, основные задачи перехода государства к «зеленой» экономике.
 (Основы экономики)</t>
  </si>
  <si>
    <t xml:space="preserve"> РО 3.4. Владеть научными и законодательными основами организации и ведения предпринимательской деятельности в Республике Казахстан.</t>
  </si>
  <si>
    <t>РО 3.5. Соблюдать этику делового общения.</t>
  </si>
  <si>
    <r>
      <rPr>
        <rFont val="Times New Roman"/>
        <b/>
        <color rgb="FF000000"/>
        <sz val="11.0"/>
      </rPr>
      <t>Итого практического обучения</t>
    </r>
  </si>
  <si>
    <t>Всего за ООМ 3</t>
  </si>
  <si>
    <t>ООМ 4</t>
  </si>
  <si>
    <t>Применение основ социальных наук для социализации и адаптации в обществе и трудовом коллективе (Социология/Политология)</t>
  </si>
  <si>
    <t>РО 4.1. Понимать морально-нравственные ценности и нормы, формирующие толерантность и активную личностную позицию
 / Основы философии</t>
  </si>
  <si>
    <t>РО 4.2. Понимать роль и место культуры народов Республики Казахстан в мировой цивилизации
 / Культурология</t>
  </si>
  <si>
    <t>РО 4.3. Владеть сведениями об основных отраслях права
 / Основы права</t>
  </si>
  <si>
    <t>РО 4.4. Владеть основными понятиями социологии и политологии
 / Социология и политология</t>
  </si>
  <si>
    <r>
      <rPr>
        <rFont val="Times New Roman"/>
        <b/>
        <color rgb="FF000000"/>
        <sz val="11.0"/>
      </rPr>
      <t>Итого практического обучения</t>
    </r>
  </si>
  <si>
    <t>Всего за ООМ 4</t>
  </si>
  <si>
    <t>Итого ООМ</t>
  </si>
  <si>
    <t>ПМ 1</t>
  </si>
  <si>
    <t>Проектирование программного обеспечения</t>
  </si>
  <si>
    <t xml:space="preserve">РО 1.1. Осуществлять постановку цели и задачи, вырабатывать требования к программному обеспечению. </t>
  </si>
  <si>
    <t xml:space="preserve">РО 1.2. Разрабатывать технические спецификации на программные компоненты. </t>
  </si>
  <si>
    <t>РО 1.3. Выбирать методы и стратегии разработки программного обеспечения.</t>
  </si>
  <si>
    <t>РО 1.4. Выбирать программные средства для подготовки макетов модулей программного обеспечения.</t>
  </si>
  <si>
    <t>РО 1.5. Работать с операционными системами и применять навыки использования пакетов прикладных программ в решении типовых задач с использованием прикладных программ.</t>
  </si>
  <si>
    <t>РО 1.6. Использовать навыки программирования на компьютере для реализации численных алгоритмов.</t>
  </si>
  <si>
    <t xml:space="preserve">РО 1.7. Применять основные принципы управления и администрирования компьютерными сетями. </t>
  </si>
  <si>
    <t>Итого практического обучения</t>
  </si>
  <si>
    <t>Всего за ПМ 1</t>
  </si>
  <si>
    <t>ПМ 2</t>
  </si>
  <si>
    <t>Составление алгоритма и создание блок-схемы на основе спецификации программного обеспечения</t>
  </si>
  <si>
    <t>РО 2.1. Выделять данные и подбирать способы программирования модулей программного обеспечения.</t>
  </si>
  <si>
    <t>РО 2.2. Составлять блок-схему для каждого модуля программного обеспечения на основе дизайн-проекта.</t>
  </si>
  <si>
    <t>РО 2.3. Разрабатывать схему взаимодействия подзадач и их объединение в одну задачу.</t>
  </si>
  <si>
    <t>РО 2.4. Определять структуру данных, входные и выходные данные.</t>
  </si>
  <si>
    <t>РО 2.5. Выбирать подходящие структуры данных и алгоритмов.</t>
  </si>
  <si>
    <t>РО 2.6. Выявлять ошибки при тестировании, а также вносить соответствующие корректировки в блок-схему и алгоритм.</t>
  </si>
  <si>
    <t>РО 2.7. Работать с популярными графическими библиотеками и фреймворками.</t>
  </si>
  <si>
    <t xml:space="preserve">Итого практического обучения </t>
  </si>
  <si>
    <t>Всего за ПМ 2</t>
  </si>
  <si>
    <t>ПМ 3</t>
  </si>
  <si>
    <t>Программирование модулей программного обеспечения</t>
  </si>
  <si>
    <t>РО 3.1. Определять структуру программы, процедуры, библиотеки языка для каждого модуля программного обеспечения.</t>
  </si>
  <si>
    <t>РО 3.2. Писать код программы на выбранном языке программирования.</t>
  </si>
  <si>
    <t>РО 3.3. Проводить отладку программного кода.</t>
  </si>
  <si>
    <t>РО 3.4. Разрабатывать тестовый набор для верификации кода.</t>
  </si>
  <si>
    <t>РО 3.5. Обеспечивать основы безопасности веб-приложений.</t>
  </si>
  <si>
    <t>РО 3.6. Обобщать основы создания серверной части веб-приложений с использованием языков программирования.</t>
  </si>
  <si>
    <t>РО 3.7. Создавать веб-страницы с использованием языков и различных стилей для оформления.</t>
  </si>
  <si>
    <t>Всего за ПМ 3</t>
  </si>
  <si>
    <t>ПМ 4</t>
  </si>
  <si>
    <t>Проверка работоспособности рефакторинга программного кода</t>
  </si>
  <si>
    <t>РО 4.1. Осуществлять анализ и проверку исходного программного кода программного обеспечения.</t>
  </si>
  <si>
    <t>РО 4.2. Осуществлять отладку программного кода программного обеспечения на уровне программных модулей.</t>
  </si>
  <si>
    <t>РО 4.3. Воспроизводить и устранять выявленные дефекты в программном коде.</t>
  </si>
  <si>
    <t>РО 4.4. Разрабатывать и оформлять контрольные примеры для проверки работоспособности программного кода.</t>
  </si>
  <si>
    <t>РО 4.5. Осуществлять рефакторинг программного кода.</t>
  </si>
  <si>
    <t>Всего за ПМ 4</t>
  </si>
  <si>
    <t>ПМ 5</t>
  </si>
  <si>
    <t>Организация обработки больших данных и их защита</t>
  </si>
  <si>
    <t>РО 5.1. Создавать базы данных и хранилище данных и использовать функциональные возможности систем управления базами данных.</t>
  </si>
  <si>
    <t>РО 5.2. Разрабатывать алгоритмы для обработки больших данных.</t>
  </si>
  <si>
    <t>РО 5.3. Разрабатывать и использовать методы быстрого поиска и обработки данных.</t>
  </si>
  <si>
    <t>РО 5.4. Работать с большими данными.</t>
  </si>
  <si>
    <t>РО 5.5. Различать механизмы аутентификации, авторизации, шифрования данных и мониторинга доступа к данным.</t>
  </si>
  <si>
    <t>РО 5.6. Выбирать методы и средства обеспечения информационной безопасности.</t>
  </si>
  <si>
    <t>Всего за ПМ 5</t>
  </si>
  <si>
    <t>ПМ 6</t>
  </si>
  <si>
    <t>Программирование цифровых устройств на базе микроконтроллеров</t>
  </si>
  <si>
    <t>РО 6.1. Определять требования к микропроцессору и разрабатывать алгоритм управления.</t>
  </si>
  <si>
    <t>РО 6.2. Осуществлять коррекцию схем и топологии микроконтроллеров.</t>
  </si>
  <si>
    <t>РО 6.3. Устранять выявленные дефекты в программном коде.</t>
  </si>
  <si>
    <t>РО 6.4. Разрабатывать и оформлять контрольные примеры для проверки работоспособности программного кода.</t>
  </si>
  <si>
    <t>РО 6.5. Использовать нормативную и техническую документацию по организации охраны труда.</t>
  </si>
  <si>
    <t>Всего за ПМ 6</t>
  </si>
  <si>
    <t>ПМ 7</t>
  </si>
  <si>
    <t>Разработка мобильных приложений</t>
  </si>
  <si>
    <t>РО 7.1. Проектировать мобильные приложения при помощи макета приложений.</t>
  </si>
  <si>
    <t>РО 7.2. Работать со стандартными сервисами платформы.</t>
  </si>
  <si>
    <t>РО 7.3. Тестировать мобильные приложения.</t>
  </si>
  <si>
    <t>РО 7.4. Использовать основные концепции и принципы мобильной разработки.</t>
  </si>
  <si>
    <t>РО 7.5. Программировать мобильные приложения с использованием языков программирования.</t>
  </si>
  <si>
    <t>Всего за ПМ 7</t>
  </si>
  <si>
    <t>Итого ПМ</t>
  </si>
  <si>
    <t>Производственная практика</t>
  </si>
  <si>
    <t>ПД</t>
  </si>
  <si>
    <t>Преддипломная практика</t>
  </si>
  <si>
    <t>Промежуточной аттестации (нед)</t>
  </si>
  <si>
    <t>ИА 01</t>
  </si>
  <si>
    <t>Итого на обязательное обучение</t>
  </si>
  <si>
    <t>Консультации</t>
  </si>
  <si>
    <t>Ф</t>
  </si>
  <si>
    <t>Факультативные занятия</t>
  </si>
  <si>
    <t>Основы web-технологий</t>
  </si>
  <si>
    <t>Современные методы разработки программного обеспечения</t>
  </si>
  <si>
    <t>Дополнительные (ФП)</t>
  </si>
  <si>
    <t>ВСЕГО: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</si>
</sst>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\-m"/>
  </numFmts>
  <fonts count="34">
    <font>
      <sz val="11.0"/>
      <color theme="1"/>
      <name val="Calibri"/>
      <scheme val="minor"/>
    </font>
    <font>
      <sz val="9.0"/>
      <color theme="1"/>
      <name val="Arimo"/>
    </font>
    <font>
      <b/>
      <sz val="18.0"/>
      <color theme="1"/>
      <name val="Times New Roman"/>
    </font>
    <font>
      <sz val="18.0"/>
      <color theme="1"/>
      <name val="Times New Roman"/>
    </font>
    <font>
      <b/>
      <sz val="10.0"/>
      <color theme="1"/>
      <name val="Times New Roman"/>
    </font>
    <font/>
    <font>
      <sz val="10.0"/>
      <color theme="1"/>
      <name val="Times New Roman"/>
    </font>
    <font>
      <sz val="11.0"/>
      <color theme="1"/>
      <name val="Times New Roman"/>
    </font>
    <font>
      <b/>
      <vertAlign val="subscript"/>
      <sz val="12.0"/>
      <color theme="1"/>
      <name val="Times New Roman"/>
    </font>
    <font>
      <b/>
      <sz val="11.0"/>
      <color rgb="FF800000"/>
      <name val="Times New Roman"/>
    </font>
    <font>
      <b/>
      <sz val="11.0"/>
      <color theme="1"/>
      <name val="Times New Roman"/>
    </font>
    <font>
      <b/>
      <sz val="11.0"/>
      <color theme="1"/>
      <name val="Arimo"/>
    </font>
    <font>
      <b/>
      <sz val="16.0"/>
      <color theme="1"/>
      <name val="Times New Roman"/>
    </font>
    <font>
      <b/>
      <sz val="13.0"/>
      <color theme="1"/>
      <name val="Times New Roman"/>
    </font>
    <font>
      <sz val="16.0"/>
      <color theme="1"/>
      <name val="Times New Roman"/>
    </font>
    <font>
      <sz val="14.0"/>
      <color theme="1"/>
      <name val="Arimo"/>
    </font>
    <font>
      <b/>
      <sz val="14.0"/>
      <color theme="1"/>
      <name val="Arimo"/>
    </font>
    <font>
      <b/>
      <sz val="9.0"/>
      <color theme="1"/>
      <name val="Arimo"/>
    </font>
    <font>
      <b/>
      <sz val="12.0"/>
      <color theme="1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4.0"/>
      <color theme="1"/>
      <name val="Times New Roman"/>
    </font>
    <font>
      <sz val="10.0"/>
      <color rgb="FF000000"/>
      <name val="Times New Roman"/>
    </font>
    <font>
      <b/>
      <sz val="10.0"/>
      <color rgb="FF000000"/>
      <name val="Times New Roman"/>
    </font>
    <font>
      <sz val="9.0"/>
      <color rgb="FF1F1F1F"/>
      <name val="Times New Roman"/>
    </font>
    <font>
      <color theme="1"/>
      <name val="Times New Roman"/>
    </font>
    <font>
      <b/>
      <sz val="8.0"/>
      <color theme="1"/>
      <name val="Times New Roman"/>
    </font>
    <font>
      <sz val="8.0"/>
      <color theme="1"/>
      <name val="Times New Roman"/>
    </font>
    <font>
      <sz val="9.0"/>
      <color theme="1"/>
      <name val="Times New Roman"/>
    </font>
    <font>
      <b/>
      <color theme="1"/>
      <name val="Times New Roman"/>
    </font>
    <font>
      <sz val="11.0"/>
      <color rgb="FF1F1F1F"/>
      <name val="Times New Roman"/>
    </font>
    <font>
      <b/>
      <color rgb="FF1F1F1F"/>
      <name val="Times New Roman"/>
    </font>
    <font>
      <b/>
      <color rgb="FF00000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7CAAC"/>
        <bgColor rgb="FFF7CAAC"/>
      </patternFill>
    </fill>
    <fill>
      <patternFill patternType="solid">
        <fgColor rgb="FFFFF2CC"/>
        <bgColor rgb="FFFFF2CC"/>
      </patternFill>
    </fill>
  </fills>
  <borders count="5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center" shrinkToFit="0" textRotation="9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textRotation="9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1" fillId="0" fontId="8" numFmtId="49" xfId="0" applyAlignment="1" applyBorder="1" applyFont="1" applyNumberFormat="1">
      <alignment shrinkToFit="0" vertical="center" wrapText="1"/>
    </xf>
    <xf borderId="24" fillId="0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0"/>
    </xf>
    <xf borderId="1" fillId="0" fontId="10" numFmtId="49" xfId="0" applyAlignment="1" applyBorder="1" applyFont="1" applyNumberFormat="1">
      <alignment horizontal="center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horizontal="center" shrinkToFit="0" vertical="center" wrapText="0"/>
    </xf>
    <xf borderId="21" fillId="0" fontId="11" numFmtId="0" xfId="0" applyAlignment="1" applyBorder="1" applyFont="1">
      <alignment horizontal="center" shrinkToFit="0" vertical="center" wrapText="0"/>
    </xf>
    <xf borderId="0" fillId="0" fontId="12" numFmtId="49" xfId="0" applyAlignment="1" applyFont="1" applyNumberFormat="1">
      <alignment vertical="top"/>
    </xf>
    <xf borderId="0" fillId="0" fontId="12" numFmtId="0" xfId="0" applyAlignment="1" applyFont="1">
      <alignment vertical="center"/>
    </xf>
    <xf borderId="1" fillId="0" fontId="13" numFmtId="49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shrinkToFit="0" vertical="center" wrapText="0"/>
    </xf>
    <xf borderId="0" fillId="0" fontId="14" numFmtId="0" xfId="0" applyFont="1"/>
    <xf borderId="0" fillId="0" fontId="12" numFmtId="0" xfId="0" applyFont="1"/>
    <xf borderId="0" fillId="0" fontId="15" numFmtId="0" xfId="0" applyFont="1"/>
    <xf borderId="0" fillId="0" fontId="2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Font="1"/>
    <xf borderId="1" fillId="0" fontId="13" numFmtId="0" xfId="0" applyAlignment="1" applyBorder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1" fillId="2" fontId="13" numFmtId="0" xfId="0" applyAlignment="1" applyBorder="1" applyFill="1" applyFont="1">
      <alignment horizontal="center" vertical="center"/>
    </xf>
    <xf borderId="0" fillId="0" fontId="21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27" fillId="0" fontId="12" numFmtId="0" xfId="0" applyAlignment="1" applyBorder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30" fillId="0" fontId="22" numFmtId="0" xfId="0" applyAlignment="1" applyBorder="1" applyFont="1">
      <alignment horizontal="center" shrinkToFit="0" vertical="center" wrapText="1"/>
    </xf>
    <xf borderId="31" fillId="0" fontId="5" numFmtId="0" xfId="0" applyBorder="1" applyFont="1"/>
    <xf borderId="32" fillId="0" fontId="5" numFmtId="0" xfId="0" applyBorder="1" applyFont="1"/>
    <xf borderId="27" fillId="0" fontId="22" numFmtId="0" xfId="0" applyAlignment="1" applyBorder="1" applyFon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33" fillId="0" fontId="5" numFmtId="0" xfId="0" applyBorder="1" applyFont="1"/>
    <xf borderId="34" fillId="0" fontId="5" numFmtId="0" xfId="0" applyBorder="1" applyFont="1"/>
    <xf borderId="27" fillId="0" fontId="20" numFmtId="0" xfId="0" applyAlignment="1" applyBorder="1" applyFont="1">
      <alignment horizontal="center" vertical="center"/>
    </xf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30" fillId="0" fontId="12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readingOrder="0" vertical="center"/>
    </xf>
    <xf borderId="30" fillId="0" fontId="14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readingOrder="0" shrinkToFit="0" vertical="center" wrapText="1"/>
    </xf>
    <xf borderId="30" fillId="0" fontId="14" numFmtId="0" xfId="0" applyAlignment="1" applyBorder="1" applyFont="1">
      <alignment horizontal="center" vertical="center"/>
    </xf>
    <xf borderId="30" fillId="0" fontId="15" numFmtId="0" xfId="0" applyAlignment="1" applyBorder="1" applyFont="1">
      <alignment horizontal="center" vertical="center"/>
    </xf>
    <xf borderId="30" fillId="0" fontId="14" numFmtId="1" xfId="0" applyAlignment="1" applyBorder="1" applyFont="1" applyNumberFormat="1">
      <alignment horizontal="center" shrinkToFit="0" vertical="center" wrapText="1"/>
    </xf>
    <xf borderId="30" fillId="0" fontId="14" numFmtId="164" xfId="0" applyAlignment="1" applyBorder="1" applyFont="1" applyNumberFormat="1">
      <alignment horizontal="center" shrinkToFit="0" vertical="center" wrapText="1"/>
    </xf>
    <xf borderId="30" fillId="0" fontId="14" numFmtId="1" xfId="0" applyAlignment="1" applyBorder="1" applyFont="1" applyNumberFormat="1">
      <alignment horizontal="center" vertical="center"/>
    </xf>
    <xf borderId="30" fillId="0" fontId="14" numFmtId="1" xfId="0" applyAlignment="1" applyBorder="1" applyFont="1" applyNumberFormat="1">
      <alignment horizontal="center" readingOrder="0" vertical="center"/>
    </xf>
    <xf borderId="30" fillId="0" fontId="19" numFmtId="0" xfId="0" applyAlignment="1" applyBorder="1" applyFont="1">
      <alignment horizontal="center" readingOrder="0" vertical="center"/>
    </xf>
    <xf borderId="30" fillId="3" fontId="12" numFmtId="0" xfId="0" applyAlignment="1" applyBorder="1" applyFill="1" applyFont="1">
      <alignment horizontal="center" vertical="center"/>
    </xf>
    <xf borderId="30" fillId="3" fontId="12" numFmtId="1" xfId="0" applyAlignment="1" applyBorder="1" applyFont="1" applyNumberFormat="1">
      <alignment horizontal="center" vertical="center"/>
    </xf>
    <xf borderId="38" fillId="2" fontId="23" numFmtId="0" xfId="0" applyAlignment="1" applyBorder="1" applyFont="1">
      <alignment horizontal="center" vertical="center"/>
    </xf>
    <xf borderId="36" fillId="0" fontId="23" numFmtId="0" xfId="0" applyAlignment="1" applyBorder="1" applyFont="1">
      <alignment horizontal="center" vertical="center"/>
    </xf>
    <xf borderId="0" fillId="2" fontId="23" numFmtId="0" xfId="0" applyAlignment="1" applyFont="1">
      <alignment horizontal="center" vertical="center"/>
    </xf>
    <xf borderId="39" fillId="2" fontId="23" numFmtId="0" xfId="0" applyAlignment="1" applyBorder="1" applyFont="1">
      <alignment vertical="center"/>
    </xf>
    <xf borderId="40" fillId="2" fontId="7" numFmtId="0" xfId="0" applyAlignment="1" applyBorder="1" applyFont="1">
      <alignment vertical="center"/>
    </xf>
    <xf borderId="41" fillId="2" fontId="7" numFmtId="0" xfId="0" applyAlignment="1" applyBorder="1" applyFont="1">
      <alignment vertical="center"/>
    </xf>
    <xf borderId="42" fillId="2" fontId="7" numFmtId="0" xfId="0" applyAlignment="1" applyBorder="1" applyFont="1">
      <alignment vertical="center"/>
    </xf>
    <xf borderId="43" fillId="2" fontId="23" numFmtId="0" xfId="0" applyAlignment="1" applyBorder="1" applyFont="1">
      <alignment horizontal="center" shrinkToFit="0" vertical="center" wrapText="1"/>
    </xf>
    <xf borderId="30" fillId="2" fontId="23" numFmtId="0" xfId="0" applyAlignment="1" applyBorder="1" applyFont="1">
      <alignment horizontal="center" shrinkToFit="0" vertical="center" wrapText="1"/>
    </xf>
    <xf borderId="44" fillId="4" fontId="7" numFmtId="0" xfId="0" applyAlignment="1" applyBorder="1" applyFill="1" applyFont="1">
      <alignment vertical="bottom"/>
    </xf>
    <xf borderId="0" fillId="4" fontId="7" numFmtId="0" xfId="0" applyAlignment="1" applyFont="1">
      <alignment vertical="bottom"/>
    </xf>
    <xf borderId="45" fillId="2" fontId="23" numFmtId="0" xfId="0" applyAlignment="1" applyBorder="1" applyFont="1">
      <alignment horizontal="center" shrinkToFit="0" textRotation="90" vertical="center" wrapText="1"/>
    </xf>
    <xf borderId="45" fillId="2" fontId="23" numFmtId="0" xfId="0" applyAlignment="1" applyBorder="1" applyFont="1">
      <alignment horizontal="center" shrinkToFit="0" vertical="center" wrapText="1"/>
    </xf>
    <xf borderId="46" fillId="2" fontId="23" numFmtId="0" xfId="0" applyAlignment="1" applyBorder="1" applyFont="1">
      <alignment shrinkToFit="0" vertical="center" wrapText="1"/>
    </xf>
    <xf borderId="47" fillId="0" fontId="5" numFmtId="0" xfId="0" applyBorder="1" applyFont="1"/>
    <xf borderId="48" fillId="0" fontId="5" numFmtId="0" xfId="0" applyBorder="1" applyFont="1"/>
    <xf borderId="30" fillId="2" fontId="24" numFmtId="0" xfId="0" applyAlignment="1" applyBorder="1" applyFont="1">
      <alignment horizontal="center" shrinkToFit="0" vertical="center" wrapText="1"/>
    </xf>
    <xf borderId="26" fillId="0" fontId="5" numFmtId="0" xfId="0" applyBorder="1" applyFont="1"/>
    <xf borderId="49" fillId="2" fontId="23" numFmtId="0" xfId="0" applyAlignment="1" applyBorder="1" applyFont="1">
      <alignment horizontal="center" shrinkToFit="0" textRotation="90" vertical="center" wrapText="1"/>
    </xf>
    <xf borderId="50" fillId="4" fontId="25" numFmtId="0" xfId="0" applyAlignment="1" applyBorder="1" applyFont="1">
      <alignment horizontal="center" shrinkToFit="0" wrapText="1"/>
    </xf>
    <xf borderId="50" fillId="0" fontId="5" numFmtId="0" xfId="0" applyBorder="1" applyFont="1"/>
    <xf borderId="0" fillId="4" fontId="25" numFmtId="0" xfId="0" applyAlignment="1" applyFont="1">
      <alignment horizontal="center" shrinkToFit="0" wrapText="1"/>
    </xf>
    <xf borderId="0" fillId="0" fontId="25" numFmtId="0" xfId="0" applyAlignment="1" applyFont="1">
      <alignment horizontal="center" readingOrder="0" shrinkToFit="0" textRotation="90" vertical="center" wrapText="1"/>
    </xf>
    <xf borderId="51" fillId="2" fontId="23" numFmtId="0" xfId="0" applyAlignment="1" applyBorder="1" applyFont="1">
      <alignment horizontal="center" shrinkToFit="0" vertical="center" wrapText="1"/>
    </xf>
    <xf borderId="51" fillId="0" fontId="23" numFmtId="0" xfId="0" applyAlignment="1" applyBorder="1" applyFont="1">
      <alignment horizontal="center" shrinkToFit="0" vertical="center" wrapText="1"/>
    </xf>
    <xf borderId="52" fillId="4" fontId="26" numFmtId="0" xfId="0" applyAlignment="1" applyBorder="1" applyFont="1">
      <alignment horizontal="center" shrinkToFit="0" wrapText="1"/>
    </xf>
    <xf borderId="52" fillId="0" fontId="26" numFmtId="0" xfId="0" applyAlignment="1" applyBorder="1" applyFont="1">
      <alignment horizontal="center" shrinkToFit="0" wrapText="1"/>
    </xf>
    <xf borderId="0" fillId="4" fontId="26" numFmtId="0" xfId="0" applyAlignment="1" applyFont="1">
      <alignment horizontal="center" shrinkToFit="0" wrapText="1"/>
    </xf>
    <xf borderId="52" fillId="0" fontId="5" numFmtId="0" xfId="0" applyBorder="1" applyFont="1"/>
    <xf borderId="51" fillId="4" fontId="26" numFmtId="0" xfId="0" applyAlignment="1" applyBorder="1" applyFont="1">
      <alignment horizontal="center" shrinkToFit="0" wrapText="1"/>
    </xf>
    <xf borderId="51" fillId="0" fontId="26" numFmtId="0" xfId="0" applyAlignment="1" applyBorder="1" applyFont="1">
      <alignment horizontal="center" shrinkToFit="0" wrapText="1"/>
    </xf>
    <xf borderId="44" fillId="4" fontId="7" numFmtId="0" xfId="0" applyAlignment="1" applyBorder="1" applyFont="1">
      <alignment horizontal="center" shrinkToFit="0" wrapText="1"/>
    </xf>
    <xf borderId="44" fillId="4" fontId="7" numFmtId="1" xfId="0" applyAlignment="1" applyBorder="1" applyFont="1" applyNumberFormat="1">
      <alignment horizontal="center" shrinkToFit="0" wrapText="1"/>
    </xf>
    <xf borderId="0" fillId="4" fontId="7" numFmtId="0" xfId="0" applyAlignment="1" applyFont="1">
      <alignment horizontal="center" shrinkToFit="0" wrapText="1"/>
    </xf>
    <xf borderId="51" fillId="0" fontId="27" numFmtId="0" xfId="0" applyAlignment="1" applyBorder="1" applyFont="1">
      <alignment horizontal="center" shrinkToFit="0" vertical="top" wrapText="1"/>
    </xf>
    <xf borderId="51" fillId="0" fontId="4" numFmtId="0" xfId="0" applyAlignment="1" applyBorder="1" applyFont="1">
      <alignment shrinkToFit="0" vertical="top" wrapText="1"/>
    </xf>
    <xf borderId="51" fillId="0" fontId="6" numFmtId="0" xfId="0" applyAlignment="1" applyBorder="1" applyFont="1">
      <alignment shrinkToFit="0" vertical="top" wrapText="1"/>
    </xf>
    <xf borderId="51" fillId="0" fontId="7" numFmtId="0" xfId="0" applyBorder="1" applyFont="1"/>
    <xf borderId="51" fillId="0" fontId="28" numFmtId="0" xfId="0" applyAlignment="1" applyBorder="1" applyFont="1">
      <alignment horizontal="center" shrinkToFit="0" vertical="top" wrapText="1"/>
    </xf>
    <xf borderId="51" fillId="0" fontId="29" numFmtId="0" xfId="0" applyAlignment="1" applyBorder="1" applyFont="1">
      <alignment shrinkToFit="0" vertical="top" wrapText="1"/>
    </xf>
    <xf borderId="51" fillId="0" fontId="30" numFmtId="164" xfId="0" applyAlignment="1" applyBorder="1" applyFont="1" applyNumberFormat="1">
      <alignment horizontal="center" shrinkToFit="0" wrapText="1"/>
    </xf>
    <xf borderId="51" fillId="0" fontId="30" numFmtId="0" xfId="0" applyAlignment="1" applyBorder="1" applyFont="1">
      <alignment horizontal="center" shrinkToFit="0" wrapText="1"/>
    </xf>
    <xf borderId="51" fillId="0" fontId="26" numFmtId="0" xfId="0" applyAlignment="1" applyBorder="1" applyFont="1">
      <alignment horizontal="center" shrinkToFit="0" wrapText="1"/>
    </xf>
    <xf borderId="51" fillId="0" fontId="7" numFmtId="0" xfId="0" applyAlignment="1" applyBorder="1" applyFont="1">
      <alignment horizontal="center" shrinkToFit="0" vertical="bottom" wrapText="1"/>
    </xf>
    <xf borderId="51" fillId="0" fontId="6" numFmtId="0" xfId="0" applyAlignment="1" applyBorder="1" applyFont="1">
      <alignment horizontal="center" shrinkToFit="0" vertical="center" wrapText="1"/>
    </xf>
    <xf borderId="51" fillId="0" fontId="7" numFmtId="0" xfId="0" applyAlignment="1" applyBorder="1" applyFont="1">
      <alignment vertical="bottom"/>
    </xf>
    <xf borderId="51" fillId="0" fontId="7" numFmtId="0" xfId="0" applyAlignment="1" applyBorder="1" applyFont="1">
      <alignment horizontal="center" shrinkToFit="0" vertical="bottom" wrapText="1"/>
    </xf>
    <xf borderId="51" fillId="0" fontId="4" numFmtId="0" xfId="0" applyAlignment="1" applyBorder="1" applyFont="1">
      <alignment horizontal="center" shrinkToFit="0" vertical="top" wrapText="1"/>
    </xf>
    <xf borderId="51" fillId="5" fontId="6" numFmtId="0" xfId="0" applyAlignment="1" applyBorder="1" applyFill="1" applyFont="1">
      <alignment horizontal="center" shrinkToFit="0" wrapText="1"/>
    </xf>
    <xf borderId="51" fillId="5" fontId="4" numFmtId="0" xfId="0" applyAlignment="1" applyBorder="1" applyFont="1">
      <alignment horizontal="center" shrinkToFit="0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6" numFmtId="164" xfId="0" applyAlignment="1" applyBorder="1" applyFont="1" applyNumberFormat="1">
      <alignment horizontal="center" shrinkToFit="0" vertical="center" wrapText="1"/>
    </xf>
    <xf borderId="51" fillId="6" fontId="27" numFmtId="0" xfId="0" applyAlignment="1" applyBorder="1" applyFill="1" applyFont="1">
      <alignment horizontal="center" shrinkToFit="0" vertical="top" wrapText="1"/>
    </xf>
    <xf borderId="51" fillId="6" fontId="10" numFmtId="0" xfId="0" applyAlignment="1" applyBorder="1" applyFont="1">
      <alignment shrinkToFit="0" vertical="top" wrapText="1"/>
    </xf>
    <xf borderId="51" fillId="6" fontId="10" numFmtId="0" xfId="0" applyAlignment="1" applyBorder="1" applyFont="1">
      <alignment horizontal="center" vertical="center"/>
    </xf>
    <xf borderId="51" fillId="6" fontId="10" numFmtId="0" xfId="0" applyAlignment="1" applyBorder="1" applyFont="1">
      <alignment horizontal="center" shrinkToFit="0" vertical="center" wrapText="1"/>
    </xf>
    <xf borderId="51" fillId="6" fontId="7" numFmtId="0" xfId="0" applyAlignment="1" applyBorder="1" applyFont="1">
      <alignment horizontal="center" vertical="center"/>
    </xf>
    <xf borderId="44" fillId="6" fontId="10" numFmtId="0" xfId="0" applyAlignment="1" applyBorder="1" applyFont="1">
      <alignment horizontal="center" vertical="center"/>
    </xf>
    <xf borderId="51" fillId="6" fontId="4" numFmtId="0" xfId="0" applyAlignment="1" applyBorder="1" applyFont="1">
      <alignment horizontal="center" shrinkToFit="0" vertical="center" wrapText="1"/>
    </xf>
    <xf borderId="51" fillId="2" fontId="27" numFmtId="0" xfId="0" applyAlignment="1" applyBorder="1" applyFont="1">
      <alignment horizontal="center" shrinkToFit="0" vertical="top" wrapText="1"/>
    </xf>
    <xf borderId="51" fillId="2" fontId="7" numFmtId="0" xfId="0" applyAlignment="1" applyBorder="1" applyFont="1">
      <alignment shrinkToFit="0" vertical="top" wrapText="1"/>
    </xf>
    <xf borderId="51" fillId="2" fontId="7" numFmtId="0" xfId="0" applyAlignment="1" applyBorder="1" applyFont="1">
      <alignment horizontal="center" vertical="center"/>
    </xf>
    <xf borderId="51" fillId="4" fontId="7" numFmtId="0" xfId="0" applyAlignment="1" applyBorder="1" applyFont="1">
      <alignment horizontal="center" vertical="center"/>
    </xf>
    <xf borderId="51" fillId="4" fontId="7" numFmtId="0" xfId="0" applyAlignment="1" applyBorder="1" applyFont="1">
      <alignment vertical="center"/>
    </xf>
    <xf borderId="51" fillId="4" fontId="7" numFmtId="164" xfId="0" applyAlignment="1" applyBorder="1" applyFont="1" applyNumberFormat="1">
      <alignment horizontal="center" shrinkToFit="0" vertical="center" wrapText="1"/>
    </xf>
    <xf borderId="51" fillId="4" fontId="10" numFmtId="0" xfId="0" applyAlignment="1" applyBorder="1" applyFont="1">
      <alignment horizontal="center" shrinkToFit="0" vertical="center" wrapText="1"/>
    </xf>
    <xf borderId="51" fillId="4" fontId="7" numFmtId="0" xfId="0" applyAlignment="1" applyBorder="1" applyFont="1">
      <alignment horizontal="center" vertical="center"/>
    </xf>
    <xf borderId="51" fillId="4" fontId="7" numFmtId="0" xfId="0" applyAlignment="1" applyBorder="1" applyFont="1">
      <alignment horizontal="center" shrinkToFit="0" vertical="center" wrapText="1"/>
    </xf>
    <xf borderId="51" fillId="4" fontId="7" numFmtId="0" xfId="0" applyAlignment="1" applyBorder="1" applyFont="1">
      <alignment horizontal="center" shrinkToFit="0" vertical="center" wrapText="1"/>
    </xf>
    <xf borderId="51" fillId="2" fontId="7" numFmtId="0" xfId="0" applyAlignment="1" applyBorder="1" applyFont="1">
      <alignment horizontal="center" shrinkToFit="0" vertical="center" wrapText="1"/>
    </xf>
    <xf borderId="51" fillId="0" fontId="7" numFmtId="0" xfId="0" applyAlignment="1" applyBorder="1" applyFont="1">
      <alignment horizontal="center" shrinkToFit="0" vertical="center" wrapText="1"/>
    </xf>
    <xf borderId="51" fillId="0" fontId="7" numFmtId="0" xfId="0" applyAlignment="1" applyBorder="1" applyFont="1">
      <alignment vertical="top"/>
    </xf>
    <xf borderId="51" fillId="0" fontId="7" numFmtId="0" xfId="0" applyAlignment="1" applyBorder="1" applyFont="1">
      <alignment shrinkToFit="0" vertical="top" wrapText="1"/>
    </xf>
    <xf borderId="51" fillId="0" fontId="7" numFmtId="0" xfId="0" applyAlignment="1" applyBorder="1" applyFont="1">
      <alignment vertical="center"/>
    </xf>
    <xf borderId="51" fillId="0" fontId="7" numFmtId="0" xfId="0" applyAlignment="1" applyBorder="1" applyFont="1">
      <alignment horizontal="center" vertical="center"/>
    </xf>
    <xf borderId="51" fillId="0" fontId="7" numFmtId="0" xfId="0" applyAlignment="1" applyBorder="1" applyFont="1">
      <alignment horizontal="center" shrinkToFit="0" vertical="center" wrapText="1"/>
    </xf>
    <xf borderId="51" fillId="7" fontId="7" numFmtId="0" xfId="0" applyAlignment="1" applyBorder="1" applyFill="1" applyFont="1">
      <alignment vertical="top"/>
    </xf>
    <xf borderId="51" fillId="7" fontId="10" numFmtId="0" xfId="0" applyAlignment="1" applyBorder="1" applyFont="1">
      <alignment shrinkToFit="0" vertical="top" wrapText="1"/>
    </xf>
    <xf borderId="51" fillId="7" fontId="7" numFmtId="0" xfId="0" applyAlignment="1" applyBorder="1" applyFont="1">
      <alignment horizontal="center" shrinkToFit="0" vertical="center" wrapText="1"/>
    </xf>
    <xf borderId="51" fillId="7" fontId="7" numFmtId="165" xfId="0" applyAlignment="1" applyBorder="1" applyFont="1" applyNumberFormat="1">
      <alignment vertical="center"/>
    </xf>
    <xf borderId="51" fillId="7" fontId="7" numFmtId="0" xfId="0" applyAlignment="1" applyBorder="1" applyFont="1">
      <alignment vertical="center"/>
    </xf>
    <xf borderId="51" fillId="7" fontId="7" numFmtId="164" xfId="0" applyAlignment="1" applyBorder="1" applyFont="1" applyNumberFormat="1">
      <alignment horizontal="center" shrinkToFit="0" vertical="center" wrapText="1"/>
    </xf>
    <xf borderId="51" fillId="7" fontId="10" numFmtId="0" xfId="0" applyAlignment="1" applyBorder="1" applyFont="1">
      <alignment horizontal="center" shrinkToFit="0" vertical="center" wrapText="1"/>
    </xf>
    <xf borderId="51" fillId="7" fontId="10" numFmtId="0" xfId="0" applyAlignment="1" applyBorder="1" applyFont="1">
      <alignment horizontal="center" vertical="center"/>
    </xf>
    <xf borderId="44" fillId="4" fontId="7" numFmtId="0" xfId="0" applyAlignment="1" applyBorder="1" applyFont="1">
      <alignment horizontal="right" vertical="bottom"/>
    </xf>
    <xf borderId="51" fillId="7" fontId="10" numFmtId="0" xfId="0" applyAlignment="1" applyBorder="1" applyFont="1">
      <alignment horizontal="left"/>
    </xf>
    <xf borderId="51" fillId="7" fontId="7" numFmtId="164" xfId="0" applyAlignment="1" applyBorder="1" applyFont="1" applyNumberFormat="1">
      <alignment vertical="center"/>
    </xf>
    <xf borderId="51" fillId="7" fontId="6" numFmtId="0" xfId="0" applyAlignment="1" applyBorder="1" applyFont="1">
      <alignment horizontal="center" shrinkToFit="0" vertical="center" wrapText="1"/>
    </xf>
    <xf borderId="51" fillId="7" fontId="4" numFmtId="0" xfId="0" applyAlignment="1" applyBorder="1" applyFont="1">
      <alignment horizontal="center" shrinkToFit="0" vertical="center" wrapText="1"/>
    </xf>
    <xf borderId="51" fillId="8" fontId="7" numFmtId="0" xfId="0" applyAlignment="1" applyBorder="1" applyFill="1" applyFont="1">
      <alignment vertical="top"/>
    </xf>
    <xf borderId="51" fillId="8" fontId="10" numFmtId="0" xfId="0" applyAlignment="1" applyBorder="1" applyFont="1">
      <alignment shrinkToFit="0" vertical="top" wrapText="1"/>
    </xf>
    <xf borderId="51" fillId="8" fontId="7" numFmtId="0" xfId="0" applyAlignment="1" applyBorder="1" applyFont="1">
      <alignment horizontal="center" shrinkToFit="0" vertical="center" wrapText="1"/>
    </xf>
    <xf borderId="51" fillId="8" fontId="7" numFmtId="0" xfId="0" applyAlignment="1" applyBorder="1" applyFont="1">
      <alignment vertical="center"/>
    </xf>
    <xf borderId="51" fillId="8" fontId="7" numFmtId="164" xfId="0" applyAlignment="1" applyBorder="1" applyFont="1" applyNumberFormat="1">
      <alignment horizontal="center" shrinkToFit="0" vertical="center" wrapText="1"/>
    </xf>
    <xf borderId="51" fillId="6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51" fillId="0" fontId="7" numFmtId="164" xfId="0" applyAlignment="1" applyBorder="1" applyFont="1" applyNumberFormat="1">
      <alignment horizontal="center" shrinkToFit="0" vertical="center" wrapText="1"/>
    </xf>
    <xf borderId="51" fillId="0" fontId="7" numFmtId="0" xfId="0" applyAlignment="1" applyBorder="1" applyFont="1">
      <alignment horizontal="center" vertical="center"/>
    </xf>
    <xf borderId="51" fillId="0" fontId="7" numFmtId="0" xfId="0" applyAlignment="1" applyBorder="1" applyFont="1">
      <alignment readingOrder="0" shrinkToFit="0" vertical="top" wrapText="1"/>
    </xf>
    <xf borderId="51" fillId="7" fontId="10" numFmtId="164" xfId="0" applyAlignment="1" applyBorder="1" applyFont="1" applyNumberFormat="1">
      <alignment horizontal="center" shrinkToFit="0" vertical="center" wrapText="1"/>
    </xf>
    <xf borderId="51" fillId="0" fontId="28" numFmtId="0" xfId="0" applyAlignment="1" applyBorder="1" applyFont="1">
      <alignment vertical="top"/>
    </xf>
    <xf borderId="51" fillId="0" fontId="28" numFmtId="0" xfId="0" applyBorder="1" applyFont="1"/>
    <xf borderId="0" fillId="0" fontId="7" numFmtId="0" xfId="0" applyAlignment="1" applyFont="1">
      <alignment horizontal="left" shrinkToFit="0" vertical="top" wrapText="1"/>
    </xf>
    <xf borderId="28" fillId="0" fontId="7" numFmtId="0" xfId="0" applyAlignment="1" applyBorder="1" applyFont="1">
      <alignment shrinkToFit="0" vertical="top" wrapText="1"/>
    </xf>
    <xf borderId="0" fillId="0" fontId="31" numFmtId="0" xfId="0" applyFont="1"/>
    <xf borderId="51" fillId="7" fontId="28" numFmtId="0" xfId="0" applyBorder="1" applyFont="1"/>
    <xf borderId="51" fillId="7" fontId="10" numFmtId="0" xfId="0" applyAlignment="1" applyBorder="1" applyFont="1">
      <alignment shrinkToFit="0" vertical="center" wrapText="1"/>
    </xf>
    <xf borderId="51" fillId="7" fontId="10" numFmtId="0" xfId="0" applyAlignment="1" applyBorder="1" applyFont="1">
      <alignment horizontal="left" shrinkToFit="0" vertical="center" wrapText="1"/>
    </xf>
    <xf borderId="51" fillId="8" fontId="28" numFmtId="0" xfId="0" applyBorder="1" applyFont="1"/>
    <xf borderId="51" fillId="8" fontId="10" numFmtId="0" xfId="0" applyAlignment="1" applyBorder="1" applyFont="1">
      <alignment shrinkToFit="0" vertical="center" wrapText="1"/>
    </xf>
    <xf borderId="51" fillId="6" fontId="7" numFmtId="0" xfId="0" applyAlignment="1" applyBorder="1" applyFont="1">
      <alignment vertical="bottom"/>
    </xf>
    <xf borderId="51" fillId="6" fontId="7" numFmtId="0" xfId="0" applyBorder="1" applyFont="1"/>
    <xf borderId="51" fillId="6" fontId="7" numFmtId="164" xfId="0" applyBorder="1" applyFont="1" applyNumberFormat="1"/>
    <xf borderId="0" fillId="0" fontId="7" numFmtId="0" xfId="0" applyFont="1"/>
    <xf borderId="51" fillId="8" fontId="7" numFmtId="164" xfId="0" applyAlignment="1" applyBorder="1" applyFont="1" applyNumberFormat="1">
      <alignment vertical="center"/>
    </xf>
    <xf borderId="51" fillId="5" fontId="7" numFmtId="0" xfId="0" applyAlignment="1" applyBorder="1" applyFont="1">
      <alignment vertical="top"/>
    </xf>
    <xf borderId="51" fillId="5" fontId="10" numFmtId="0" xfId="0" applyAlignment="1" applyBorder="1" applyFont="1">
      <alignment horizontal="center" shrinkToFit="0" wrapText="1"/>
    </xf>
    <xf borderId="51" fillId="5" fontId="7" numFmtId="0" xfId="0" applyBorder="1" applyFont="1"/>
    <xf borderId="51" fillId="5" fontId="10" numFmtId="1" xfId="0" applyAlignment="1" applyBorder="1" applyFont="1" applyNumberFormat="1">
      <alignment horizontal="center" shrinkToFit="0" vertical="center" wrapText="1"/>
    </xf>
    <xf borderId="51" fillId="6" fontId="10" numFmtId="0" xfId="0" applyAlignment="1" applyBorder="1" applyFont="1">
      <alignment horizontal="center" shrinkToFit="0" vertical="top" wrapText="1"/>
    </xf>
    <xf borderId="51" fillId="6" fontId="18" numFmtId="0" xfId="0" applyAlignment="1" applyBorder="1" applyFont="1">
      <alignment readingOrder="0" shrinkToFit="0" vertical="top" wrapText="1"/>
    </xf>
    <xf borderId="51" fillId="6" fontId="10" numFmtId="0" xfId="0" applyAlignment="1" applyBorder="1" applyFont="1">
      <alignment horizontal="center" readingOrder="0" shrinkToFit="0" vertical="center" wrapText="1"/>
    </xf>
    <xf borderId="51" fillId="6" fontId="7" numFmtId="0" xfId="0" applyAlignment="1" applyBorder="1" applyFont="1">
      <alignment horizontal="center" readingOrder="0" shrinkToFit="0" vertical="center" wrapText="1"/>
    </xf>
    <xf borderId="44" fillId="4" fontId="7" numFmtId="164" xfId="0" applyAlignment="1" applyBorder="1" applyFont="1" applyNumberFormat="1">
      <alignment horizontal="right" vertical="bottom"/>
    </xf>
    <xf borderId="51" fillId="4" fontId="7" numFmtId="0" xfId="0" applyAlignment="1" applyBorder="1" applyFont="1">
      <alignment vertical="top"/>
    </xf>
    <xf borderId="51" fillId="4" fontId="20" numFmtId="0" xfId="0" applyAlignment="1" applyBorder="1" applyFont="1">
      <alignment readingOrder="0" shrinkToFit="0" vertical="center" wrapText="1"/>
    </xf>
    <xf borderId="51" fillId="0" fontId="7" numFmtId="0" xfId="0" applyAlignment="1" applyBorder="1" applyFont="1">
      <alignment horizontal="center" readingOrder="0" vertical="center"/>
    </xf>
    <xf borderId="51" fillId="2" fontId="10" numFmtId="0" xfId="0" applyAlignment="1" applyBorder="1" applyFont="1">
      <alignment horizontal="center" shrinkToFit="0" vertical="center" wrapText="1"/>
    </xf>
    <xf borderId="51" fillId="2" fontId="7" numFmtId="0" xfId="0" applyAlignment="1" applyBorder="1" applyFont="1">
      <alignment horizontal="center" readingOrder="0" vertical="center"/>
    </xf>
    <xf borderId="51" fillId="0" fontId="7" numFmtId="0" xfId="0" applyAlignment="1" applyBorder="1" applyFont="1">
      <alignment horizontal="center" readingOrder="0" shrinkToFit="0" vertical="center" wrapText="1"/>
    </xf>
    <xf borderId="53" fillId="4" fontId="7" numFmtId="0" xfId="0" applyAlignment="1" applyBorder="1" applyFont="1">
      <alignment vertical="bottom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4" fontId="7" numFmtId="0" xfId="0" applyAlignment="1" applyFont="1">
      <alignment horizontal="right" vertical="bottom"/>
    </xf>
    <xf borderId="52" fillId="4" fontId="20" numFmtId="0" xfId="0" applyAlignment="1" applyBorder="1" applyFont="1">
      <alignment readingOrder="0" shrinkToFit="0" vertical="center" wrapText="1"/>
    </xf>
    <xf borderId="54" fillId="4" fontId="7" numFmtId="0" xfId="0" applyAlignment="1" applyBorder="1" applyFont="1">
      <alignment horizontal="right" vertical="bottom"/>
    </xf>
    <xf borderId="0" fillId="0" fontId="26" numFmtId="0" xfId="0" applyFont="1"/>
    <xf borderId="0" fillId="0" fontId="7" numFmtId="0" xfId="0" applyAlignment="1" applyFont="1">
      <alignment horizontal="center" readingOrder="0" vertical="center"/>
    </xf>
    <xf borderId="51" fillId="7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7" fontId="32" numFmtId="0" xfId="0" applyAlignment="1" applyFont="1">
      <alignment readingOrder="0" vertical="center"/>
    </xf>
    <xf borderId="51" fillId="7" fontId="7" numFmtId="0" xfId="0" applyAlignment="1" applyBorder="1" applyFont="1">
      <alignment horizontal="center" readingOrder="0" vertical="center"/>
    </xf>
    <xf borderId="51" fillId="7" fontId="10" numFmtId="0" xfId="0" applyAlignment="1" applyBorder="1" applyFont="1">
      <alignment horizontal="center" readingOrder="0" shrinkToFit="0" vertical="center" wrapText="1"/>
    </xf>
    <xf borderId="51" fillId="7" fontId="10" numFmtId="0" xfId="0" applyAlignment="1" applyBorder="1" applyFont="1">
      <alignment horizontal="center" readingOrder="0" vertical="center"/>
    </xf>
    <xf borderId="53" fillId="4" fontId="7" numFmtId="164" xfId="0" applyAlignment="1" applyBorder="1" applyFont="1" applyNumberFormat="1">
      <alignment vertical="bottom"/>
    </xf>
    <xf borderId="51" fillId="8" fontId="7" numFmtId="0" xfId="0" applyAlignment="1" applyBorder="1" applyFont="1">
      <alignment horizontal="center" readingOrder="0" vertical="center"/>
    </xf>
    <xf borderId="51" fillId="8" fontId="7" numFmtId="0" xfId="0" applyAlignment="1" applyBorder="1" applyFont="1">
      <alignment horizontal="center" vertical="center"/>
    </xf>
    <xf borderId="51" fillId="6" fontId="33" numFmtId="0" xfId="0" applyAlignment="1" applyBorder="1" applyFont="1">
      <alignment readingOrder="0" shrinkToFit="0" vertical="center" wrapText="1"/>
    </xf>
    <xf borderId="51" fillId="6" fontId="10" numFmtId="164" xfId="0" applyAlignment="1" applyBorder="1" applyFont="1" applyNumberFormat="1">
      <alignment horizontal="center" shrinkToFit="0" vertical="center" wrapText="1"/>
    </xf>
    <xf borderId="51" fillId="9" fontId="10" numFmtId="0" xfId="0" applyAlignment="1" applyBorder="1" applyFill="1" applyFont="1">
      <alignment horizontal="center" readingOrder="0" shrinkToFit="0" vertical="center" wrapText="1"/>
    </xf>
    <xf borderId="51" fillId="0" fontId="20" numFmtId="0" xfId="0" applyAlignment="1" applyBorder="1" applyFont="1">
      <alignment readingOrder="0" shrinkToFit="0" vertical="center" wrapText="1"/>
    </xf>
    <xf borderId="5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2" fillId="0" fontId="20" numFmtId="0" xfId="0" applyAlignment="1" applyBorder="1" applyFont="1">
      <alignment readingOrder="0" shrinkToFit="0" vertical="center" wrapText="1"/>
    </xf>
    <xf borderId="53" fillId="4" fontId="7" numFmtId="0" xfId="0" applyAlignment="1" applyBorder="1" applyFont="1">
      <alignment horizontal="right" vertical="bottom"/>
    </xf>
    <xf borderId="51" fillId="7" fontId="32" numFmtId="0" xfId="0" applyAlignment="1" applyBorder="1" applyFont="1">
      <alignment readingOrder="0" vertical="center"/>
    </xf>
    <xf borderId="51" fillId="6" fontId="10" numFmtId="0" xfId="0" applyAlignment="1" applyBorder="1" applyFont="1">
      <alignment readingOrder="0" shrinkToFit="0" vertical="top" wrapText="1"/>
    </xf>
    <xf borderId="51" fillId="4" fontId="7" numFmtId="0" xfId="0" applyBorder="1" applyFont="1"/>
    <xf borderId="51" fillId="7" fontId="7" numFmtId="0" xfId="0" applyBorder="1" applyFont="1"/>
    <xf borderId="51" fillId="7" fontId="7" numFmtId="0" xfId="0" applyAlignment="1" applyBorder="1" applyFont="1">
      <alignment horizontal="center" readingOrder="0" shrinkToFit="0" vertical="center" wrapText="1"/>
    </xf>
    <xf borderId="51" fillId="8" fontId="7" numFmtId="0" xfId="0" applyBorder="1" applyFont="1"/>
    <xf borderId="51" fillId="9" fontId="10" numFmtId="0" xfId="0" applyAlignment="1" applyBorder="1" applyFont="1">
      <alignment horizontal="center" shrinkToFit="0" vertical="center" wrapText="1"/>
    </xf>
    <xf borderId="51" fillId="9" fontId="10" numFmtId="0" xfId="0" applyAlignment="1" applyBorder="1" applyFont="1">
      <alignment readingOrder="0" shrinkToFit="0" vertical="top" wrapText="1"/>
    </xf>
    <xf borderId="51" fillId="9" fontId="10" numFmtId="0" xfId="0" applyAlignment="1" applyBorder="1" applyFont="1">
      <alignment horizontal="center" vertical="center"/>
    </xf>
    <xf borderId="51" fillId="9" fontId="7" numFmtId="0" xfId="0" applyAlignment="1" applyBorder="1" applyFont="1">
      <alignment horizontal="center" readingOrder="0" shrinkToFit="0" vertical="center" wrapText="1"/>
    </xf>
    <xf borderId="51" fillId="9" fontId="10" numFmtId="0" xfId="0" applyAlignment="1" applyBorder="1" applyFont="1">
      <alignment horizontal="center" readingOrder="0" vertical="center"/>
    </xf>
    <xf borderId="32" fillId="0" fontId="20" numFmtId="0" xfId="0" applyAlignment="1" applyBorder="1" applyFont="1">
      <alignment readingOrder="0" shrinkToFit="0" vertical="center" wrapText="1"/>
    </xf>
    <xf borderId="37" fillId="0" fontId="20" numFmtId="0" xfId="0" applyAlignment="1" applyBorder="1" applyFont="1">
      <alignment readingOrder="0" shrinkToFit="0" vertical="center" wrapText="1"/>
    </xf>
    <xf borderId="0" fillId="0" fontId="26" numFmtId="0" xfId="0" applyAlignment="1" applyFont="1">
      <alignment horizontal="center" readingOrder="0" vertical="center"/>
    </xf>
    <xf borderId="51" fillId="2" fontId="10" numFmtId="1" xfId="0" applyAlignment="1" applyBorder="1" applyFont="1" applyNumberFormat="1">
      <alignment horizontal="center" shrinkToFit="0" vertical="center" wrapText="1"/>
    </xf>
    <xf borderId="51" fillId="2" fontId="7" numFmtId="1" xfId="0" applyAlignment="1" applyBorder="1" applyFont="1" applyNumberFormat="1">
      <alignment horizontal="center" readingOrder="0" vertical="center"/>
    </xf>
    <xf borderId="51" fillId="0" fontId="26" numFmtId="0" xfId="0" applyAlignment="1" applyBorder="1" applyFont="1">
      <alignment horizontal="center" readingOrder="0" vertical="center"/>
    </xf>
    <xf borderId="54" fillId="4" fontId="7" numFmtId="0" xfId="0" applyAlignment="1" applyBorder="1" applyFont="1">
      <alignment vertical="bottom"/>
    </xf>
    <xf borderId="0" fillId="0" fontId="26" numFmtId="0" xfId="0" applyAlignment="1" applyFont="1">
      <alignment horizontal="center" vertical="center"/>
    </xf>
    <xf borderId="51" fillId="7" fontId="30" numFmtId="0" xfId="0" applyAlignment="1" applyBorder="1" applyFont="1">
      <alignment horizontal="center" readingOrder="0" vertical="center"/>
    </xf>
    <xf borderId="51" fillId="9" fontId="10" numFmtId="0" xfId="0" applyAlignment="1" applyBorder="1" applyFont="1">
      <alignment horizontal="center" shrinkToFit="0" wrapText="1"/>
    </xf>
    <xf borderId="51" fillId="6" fontId="26" numFmtId="0" xfId="0" applyBorder="1" applyFont="1"/>
    <xf borderId="51" fillId="0" fontId="26" numFmtId="0" xfId="0" applyBorder="1" applyFont="1"/>
    <xf borderId="51" fillId="0" fontId="26" numFmtId="0" xfId="0" applyBorder="1" applyFont="1"/>
    <xf borderId="51" fillId="7" fontId="30" numFmtId="0" xfId="0" applyBorder="1" applyFont="1"/>
    <xf borderId="51" fillId="7" fontId="30" numFmtId="0" xfId="0" applyBorder="1" applyFont="1"/>
    <xf borderId="51" fillId="6" fontId="10" numFmtId="0" xfId="0" applyAlignment="1" applyBorder="1" applyFont="1">
      <alignment readingOrder="0" shrinkToFit="0" vertical="center" wrapText="1"/>
    </xf>
    <xf borderId="51" fillId="6" fontId="10" numFmtId="0" xfId="0" applyAlignment="1" applyBorder="1" applyFont="1">
      <alignment horizontal="center" readingOrder="0" vertical="center"/>
    </xf>
    <xf borderId="51" fillId="0" fontId="10" numFmtId="0" xfId="0" applyAlignment="1" applyBorder="1" applyFont="1">
      <alignment horizontal="center" readingOrder="0" shrinkToFit="0" vertical="center" wrapText="1"/>
    </xf>
    <xf borderId="51" fillId="0" fontId="10" numFmtId="164" xfId="0" applyAlignment="1" applyBorder="1" applyFont="1" applyNumberFormat="1">
      <alignment horizontal="center" shrinkToFit="0" vertical="center" wrapText="1"/>
    </xf>
    <xf borderId="0" fillId="4" fontId="7" numFmtId="0" xfId="0" applyAlignment="1" applyFont="1">
      <alignment readingOrder="0" vertical="bottom"/>
    </xf>
    <xf borderId="51" fillId="7" fontId="30" numFmtId="0" xfId="0" applyAlignment="1" applyBorder="1" applyFont="1">
      <alignment readingOrder="0"/>
    </xf>
    <xf borderId="0" fillId="6" fontId="26" numFmtId="0" xfId="0" applyFont="1"/>
    <xf borderId="51" fillId="0" fontId="26" numFmtId="0" xfId="0" applyAlignment="1" applyBorder="1" applyFont="1">
      <alignment horizontal="center" vertical="center"/>
    </xf>
    <xf borderId="51" fillId="8" fontId="7" numFmtId="0" xfId="0" applyAlignment="1" applyBorder="1" applyFont="1">
      <alignment horizontal="center" readingOrder="0" shrinkToFit="0" vertical="center" wrapText="1"/>
    </xf>
    <xf borderId="52" fillId="5" fontId="10" numFmtId="0" xfId="0" applyAlignment="1" applyBorder="1" applyFont="1">
      <alignment horizontal="center" vertical="center"/>
    </xf>
    <xf borderId="51" fillId="5" fontId="4" numFmtId="0" xfId="0" applyAlignment="1" applyBorder="1" applyFont="1">
      <alignment horizontal="center" shrinkToFit="0" vertical="center" wrapText="1"/>
    </xf>
    <xf borderId="51" fillId="5" fontId="7" numFmtId="0" xfId="0" applyAlignment="1" applyBorder="1" applyFont="1">
      <alignment horizontal="center" vertical="center"/>
    </xf>
    <xf borderId="51" fillId="5" fontId="7" numFmtId="0" xfId="0" applyAlignment="1" applyBorder="1" applyFont="1">
      <alignment horizontal="center" shrinkToFit="0" vertical="center" wrapText="1"/>
    </xf>
    <xf borderId="51" fillId="5" fontId="10" numFmtId="164" xfId="0" applyAlignment="1" applyBorder="1" applyFont="1" applyNumberFormat="1">
      <alignment horizontal="center" shrinkToFit="0" vertical="center" wrapText="1"/>
    </xf>
    <xf borderId="51" fillId="5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51" fillId="4" fontId="30" numFmtId="0" xfId="0" applyAlignment="1" applyBorder="1" applyFont="1">
      <alignment horizontal="center" shrinkToFit="0" vertical="top" wrapText="1"/>
    </xf>
    <xf borderId="51" fillId="4" fontId="30" numFmtId="0" xfId="0" applyAlignment="1" applyBorder="1" applyFont="1">
      <alignment shrinkToFit="0" vertical="top" wrapText="1"/>
    </xf>
    <xf borderId="51" fillId="4" fontId="26" numFmtId="0" xfId="0" applyAlignment="1" applyBorder="1" applyFont="1">
      <alignment horizontal="center" shrinkToFit="0" vertical="center" wrapText="1"/>
    </xf>
    <xf borderId="51" fillId="4" fontId="30" numFmtId="1" xfId="0" applyAlignment="1" applyBorder="1" applyFont="1" applyNumberFormat="1">
      <alignment horizontal="center" shrinkToFit="0" wrapText="1"/>
    </xf>
    <xf borderId="51" fillId="4" fontId="30" numFmtId="0" xfId="0" applyAlignment="1" applyBorder="1" applyFont="1">
      <alignment horizontal="center" shrinkToFit="0" vertical="center" wrapText="1"/>
    </xf>
    <xf borderId="51" fillId="4" fontId="20" numFmtId="0" xfId="0" applyAlignment="1" applyBorder="1" applyFont="1">
      <alignment horizontal="center" shrinkToFit="0" vertical="center" wrapText="1"/>
    </xf>
    <xf borderId="51" fillId="4" fontId="7" numFmtId="0" xfId="0" applyAlignment="1" applyBorder="1" applyFont="1">
      <alignment vertical="bottom"/>
    </xf>
    <xf borderId="51" fillId="4" fontId="10" numFmtId="0" xfId="0" applyAlignment="1" applyBorder="1" applyFont="1">
      <alignment horizontal="center" readingOrder="0" vertical="center"/>
    </xf>
    <xf borderId="51" fillId="4" fontId="20" numFmtId="0" xfId="0" applyAlignment="1" applyBorder="1" applyFont="1">
      <alignment horizontal="center" readingOrder="0" vertical="center"/>
    </xf>
    <xf borderId="51" fillId="4" fontId="30" numFmtId="0" xfId="0" applyAlignment="1" applyBorder="1" applyFont="1">
      <alignment horizontal="center" shrinkToFit="0" wrapText="1"/>
    </xf>
    <xf borderId="51" fillId="4" fontId="30" numFmtId="0" xfId="0" applyAlignment="1" applyBorder="1" applyFont="1">
      <alignment shrinkToFit="0" vertical="bottom" wrapText="1"/>
    </xf>
    <xf borderId="51" fillId="4" fontId="30" numFmtId="49" xfId="0" applyAlignment="1" applyBorder="1" applyFont="1" applyNumberFormat="1">
      <alignment horizontal="center" shrinkToFit="0" wrapText="1"/>
    </xf>
    <xf borderId="51" fillId="4" fontId="30" numFmtId="1" xfId="0" applyAlignment="1" applyBorder="1" applyFont="1" applyNumberFormat="1">
      <alignment horizontal="center" shrinkToFit="0" vertical="center" wrapText="1"/>
    </xf>
    <xf borderId="51" fillId="4" fontId="7" numFmtId="0" xfId="0" applyAlignment="1" applyBorder="1" applyFont="1">
      <alignment horizontal="center" readingOrder="0" shrinkToFit="0" vertical="bottom" wrapText="1"/>
    </xf>
    <xf borderId="51" fillId="4" fontId="7" numFmtId="1" xfId="0" applyAlignment="1" applyBorder="1" applyFont="1" applyNumberFormat="1">
      <alignment horizontal="center" readingOrder="0" vertical="bottom"/>
    </xf>
    <xf borderId="51" fillId="0" fontId="7" numFmtId="0" xfId="0" applyAlignment="1" applyBorder="1" applyFont="1">
      <alignment horizontal="center" readingOrder="0" vertical="bottom"/>
    </xf>
    <xf borderId="51" fillId="4" fontId="7" numFmtId="0" xfId="0" applyAlignment="1" applyBorder="1" applyFont="1">
      <alignment horizontal="center" readingOrder="0"/>
    </xf>
    <xf borderId="51" fillId="4" fontId="7" numFmtId="0" xfId="0" applyAlignment="1" applyBorder="1" applyFont="1">
      <alignment horizontal="center" readingOrder="0" vertical="center"/>
    </xf>
    <xf borderId="51" fillId="4" fontId="7" numFmtId="0" xfId="0" applyAlignment="1" applyBorder="1" applyFont="1">
      <alignment horizontal="center" readingOrder="0" shrinkToFit="0" vertical="center" wrapText="1"/>
    </xf>
    <xf borderId="51" fillId="10" fontId="7" numFmtId="0" xfId="0" applyBorder="1" applyFill="1" applyFont="1"/>
    <xf borderId="51" fillId="10" fontId="10" numFmtId="0" xfId="0" applyAlignment="1" applyBorder="1" applyFont="1">
      <alignment shrinkToFit="0" wrapText="1"/>
    </xf>
    <xf borderId="51" fillId="10" fontId="7" numFmtId="0" xfId="0" applyAlignment="1" applyBorder="1" applyFont="1">
      <alignment horizontal="center" vertical="center"/>
    </xf>
    <xf borderId="51" fillId="10" fontId="10" numFmtId="164" xfId="0" applyAlignment="1" applyBorder="1" applyFont="1" applyNumberFormat="1">
      <alignment horizontal="center" shrinkToFit="0" vertical="center" wrapText="1"/>
    </xf>
    <xf borderId="51" fillId="10" fontId="10" numFmtId="0" xfId="0" applyAlignment="1" applyBorder="1" applyFont="1">
      <alignment horizontal="center" shrinkToFit="0" vertical="center" wrapText="1"/>
    </xf>
    <xf borderId="51" fillId="10" fontId="10" numFmtId="1" xfId="0" applyAlignment="1" applyBorder="1" applyFont="1" applyNumberFormat="1">
      <alignment horizontal="center" shrinkToFit="0" vertical="center" wrapText="1"/>
    </xf>
    <xf borderId="51" fillId="4" fontId="10" numFmtId="0" xfId="0" applyAlignment="1" applyBorder="1" applyFont="1">
      <alignment horizontal="center" shrinkToFit="0" wrapText="1"/>
    </xf>
    <xf borderId="51" fillId="11" fontId="10" numFmtId="0" xfId="0" applyAlignment="1" applyBorder="1" applyFill="1" applyFont="1">
      <alignment shrinkToFit="0" wrapText="1"/>
    </xf>
    <xf borderId="51" fillId="11" fontId="7" numFmtId="0" xfId="0" applyAlignment="1" applyBorder="1" applyFont="1">
      <alignment horizontal="center" vertical="center"/>
    </xf>
    <xf borderId="51" fillId="11" fontId="10" numFmtId="1" xfId="0" applyAlignment="1" applyBorder="1" applyFont="1" applyNumberFormat="1">
      <alignment horizontal="center" shrinkToFit="0" vertical="center" wrapText="1"/>
    </xf>
    <xf borderId="51" fillId="11" fontId="10" numFmtId="0" xfId="0" applyAlignment="1" applyBorder="1" applyFont="1">
      <alignment horizontal="center" shrinkToFit="0" vertical="center" wrapText="1"/>
    </xf>
    <xf borderId="51" fillId="11" fontId="10" numFmtId="0" xfId="0" applyAlignment="1" applyBorder="1" applyFont="1">
      <alignment horizontal="center" vertical="bottom"/>
    </xf>
    <xf borderId="51" fillId="11" fontId="10" numFmtId="0" xfId="0" applyAlignment="1" applyBorder="1" applyFont="1">
      <alignment horizontal="center" shrinkToFit="0" vertical="bottom" wrapText="1"/>
    </xf>
    <xf borderId="51" fillId="11" fontId="10" numFmtId="0" xfId="0" applyAlignment="1" applyBorder="1" applyFont="1">
      <alignment horizontal="center" shrinkToFit="0" wrapText="1"/>
    </xf>
    <xf borderId="51" fillId="11" fontId="7" numFmtId="0" xfId="0" applyAlignment="1" applyBorder="1" applyFont="1">
      <alignment shrinkToFit="0" vertical="bottom" wrapText="1"/>
    </xf>
    <xf borderId="51" fillId="11" fontId="10" numFmtId="0" xfId="0" applyAlignment="1" applyBorder="1" applyFont="1">
      <alignment horizontal="center" vertical="center"/>
    </xf>
    <xf borderId="51" fillId="11" fontId="7" numFmtId="0" xfId="0" applyAlignment="1" applyBorder="1" applyFont="1">
      <alignment horizontal="center"/>
    </xf>
    <xf borderId="51" fillId="11" fontId="7" numFmtId="0" xfId="0" applyAlignment="1" applyBorder="1" applyFont="1">
      <alignment shrinkToFit="0" wrapText="1"/>
    </xf>
    <xf borderId="51" fillId="11" fontId="7" numFmtId="0" xfId="0" applyAlignment="1" applyBorder="1" applyFont="1">
      <alignment horizontal="center" shrinkToFit="0" wrapText="1"/>
    </xf>
    <xf borderId="0" fillId="2" fontId="7" numFmtId="0" xfId="0" applyFont="1"/>
    <xf borderId="4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285750</xdr:colOff>
      <xdr:row>4</xdr:row>
      <xdr:rowOff>19050</xdr:rowOff>
    </xdr:from>
    <xdr:ext cx="3038475" cy="1866900"/>
    <xdr:sp>
      <xdr:nvSpPr>
        <xdr:cNvPr id="3" name="Shape 3"/>
        <xdr:cNvSpPr txBox="1"/>
      </xdr:nvSpPr>
      <xdr:spPr>
        <a:xfrm>
          <a:off x="3831525" y="2851313"/>
          <a:ext cx="3028950" cy="1857375"/>
        </a:xfrm>
        <a:prstGeom prst="rect">
          <a:avLst/>
        </a:prstGeom>
        <a:solidFill>
          <a:schemeClr val="lt1">
            <a:alpha val="0"/>
          </a:schemeClr>
        </a:solidFill>
        <a:ln cap="flat" cmpd="sng" w="9525">
          <a:solidFill>
            <a:srgbClr val="BABABA">
              <a:alpha val="0"/>
            </a:srgb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Утверждаю</a:t>
          </a:r>
          <a:endParaRPr b="1" sz="18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Директор </a:t>
          </a:r>
          <a:endParaRPr sz="18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Джалилов А.А.</a:t>
          </a:r>
          <a:endParaRPr b="1" sz="18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_________________</a:t>
          </a:r>
          <a:endParaRPr sz="18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___ ________20___ г.</a:t>
          </a:r>
          <a:endParaRPr sz="16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/>
        </a:p>
      </xdr:txBody>
    </xdr:sp>
    <xdr:clientData fLocksWithSheet="0"/>
  </xdr:oneCellAnchor>
  <xdr:oneCellAnchor>
    <xdr:from>
      <xdr:col>0</xdr:col>
      <xdr:colOff>19050</xdr:colOff>
      <xdr:row>4</xdr:row>
      <xdr:rowOff>0</xdr:rowOff>
    </xdr:from>
    <xdr:ext cx="3181350" cy="1847850"/>
    <xdr:sp>
      <xdr:nvSpPr>
        <xdr:cNvPr id="4" name="Shape 4"/>
        <xdr:cNvSpPr txBox="1"/>
      </xdr:nvSpPr>
      <xdr:spPr>
        <a:xfrm>
          <a:off x="3760088" y="2860838"/>
          <a:ext cx="3171825" cy="1838325"/>
        </a:xfrm>
        <a:prstGeom prst="rect">
          <a:avLst/>
        </a:prstGeom>
        <a:solidFill>
          <a:srgbClr val="FFFF00">
            <a:alpha val="0"/>
          </a:srgbClr>
        </a:solidFill>
        <a:ln cap="flat" cmpd="sng" w="9525">
          <a:solidFill>
            <a:srgbClr val="BABABA">
              <a:alpha val="0"/>
            </a:srgb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Согласовано</a:t>
          </a:r>
          <a:endParaRPr b="1" sz="18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Заместитель директора по УР</a:t>
          </a:r>
          <a:endParaRPr sz="18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Калиаскаров Д.А.</a:t>
          </a:r>
          <a:endParaRPr sz="1400"/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____________________</a:t>
          </a:r>
          <a:endParaRPr sz="18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lang="en-US" sz="1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___   __________20___ г.</a:t>
          </a:r>
          <a:endParaRPr sz="16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94444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/>
        </a:p>
      </xdr:txBody>
    </xdr:sp>
    <xdr:clientData fLocksWithSheet="0"/>
  </xdr:oneCellAnchor>
  <xdr:oneCellAnchor>
    <xdr:from>
      <xdr:col>11</xdr:col>
      <xdr:colOff>152400</xdr:colOff>
      <xdr:row>12</xdr:row>
      <xdr:rowOff>38100</xdr:rowOff>
    </xdr:from>
    <xdr:ext cx="10696575" cy="2895600"/>
    <xdr:sp>
      <xdr:nvSpPr>
        <xdr:cNvPr id="5" name="Shape 5"/>
        <xdr:cNvSpPr txBox="1"/>
      </xdr:nvSpPr>
      <xdr:spPr>
        <a:xfrm>
          <a:off x="0" y="2341725"/>
          <a:ext cx="10692000" cy="2876550"/>
        </a:xfrm>
        <a:prstGeom prst="rect">
          <a:avLst/>
        </a:prstGeom>
        <a:noFill/>
        <a:ln>
          <a:noFill/>
        </a:ln>
      </xdr:spPr>
      <xdr:txBody>
        <a:bodyPr anchorCtr="0" anchor="t" bIns="0" lIns="54850" spcFirstLastPara="1" rIns="54850" wrap="square" tIns="411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Times New Roman"/>
            <a:buNone/>
          </a:pPr>
          <a:r>
            <a:rPr b="1" i="0" lang="en-US" sz="20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РАБОЧИЙ УЧЕБНЫЙ ПЛАН</a:t>
          </a:r>
          <a:endParaRPr b="1" i="0" sz="20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Times New Roman"/>
            <a:buNone/>
          </a:pPr>
          <a:r>
            <a:t/>
          </a:r>
          <a:endParaRPr b="1" sz="20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Times New Roman"/>
            <a:buNone/>
          </a:pPr>
          <a:r>
            <a:rPr lang="en-US" sz="2000">
              <a:latin typeface="Times New Roman"/>
              <a:ea typeface="Times New Roman"/>
              <a:cs typeface="Times New Roman"/>
              <a:sym typeface="Times New Roman"/>
            </a:rPr>
            <a:t>Специальность:            		06130100 – Программное обеспечение (по видам)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Times New Roman"/>
            <a:buNone/>
          </a:pPr>
          <a:r>
            <a:rPr lang="en-US" sz="2000">
              <a:latin typeface="Times New Roman"/>
              <a:ea typeface="Times New Roman"/>
              <a:cs typeface="Times New Roman"/>
              <a:sym typeface="Times New Roman"/>
            </a:rPr>
            <a:t>Квалификация:                        </a:t>
          </a:r>
          <a:r>
            <a:rPr lang="en-US" sz="2000">
              <a:latin typeface="Times New Roman"/>
              <a:ea typeface="Times New Roman"/>
              <a:cs typeface="Times New Roman"/>
              <a:sym typeface="Times New Roman"/>
            </a:rPr>
            <a:t>4S06130103 Разработчик программного обеспечения</a:t>
          </a:r>
          <a:endParaRPr sz="20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Times New Roman"/>
            <a:buNone/>
          </a:pPr>
          <a:r>
            <a:t/>
          </a:r>
          <a:endParaRPr b="1" sz="20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b="0" i="0" sz="20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21</xdr:row>
      <xdr:rowOff>0</xdr:rowOff>
    </xdr:from>
    <xdr:ext cx="6543675" cy="1266825"/>
    <xdr:sp>
      <xdr:nvSpPr>
        <xdr:cNvPr id="6" name="Shape 6"/>
        <xdr:cNvSpPr txBox="1"/>
      </xdr:nvSpPr>
      <xdr:spPr>
        <a:xfrm>
          <a:off x="2078925" y="3151350"/>
          <a:ext cx="6534150" cy="1257300"/>
        </a:xfrm>
        <a:prstGeom prst="rect">
          <a:avLst/>
        </a:prstGeom>
        <a:noFill/>
        <a:ln>
          <a:noFill/>
        </a:ln>
      </xdr:spPr>
      <xdr:txBody>
        <a:bodyPr anchorCtr="0" anchor="t" bIns="0" lIns="45700" spcFirstLastPara="1" rIns="0" wrap="square" tIns="365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b="0" i="0" sz="18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Times New Roman"/>
            <a:buNone/>
          </a:pPr>
          <a:r>
            <a:rPr b="0" i="0" lang="en-US" sz="18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Форма обучения: очная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Times New Roman"/>
            <a:buNone/>
          </a:pPr>
          <a:r>
            <a:rPr lang="en-US" sz="1800">
              <a:latin typeface="Times New Roman"/>
              <a:ea typeface="Times New Roman"/>
              <a:cs typeface="Times New Roman"/>
              <a:sym typeface="Times New Roman"/>
            </a:rPr>
            <a:t>Срок освоения образовательной программы </a:t>
          </a:r>
          <a:r>
            <a:rPr b="0" i="0" lang="en-US" sz="18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b="0" i="0" lang="en-US" sz="1800">
              <a:latin typeface="Times New Roman"/>
              <a:ea typeface="Times New Roman"/>
              <a:cs typeface="Times New Roman"/>
              <a:sym typeface="Times New Roman"/>
            </a:rPr>
            <a:t>3 года 10 мес</a:t>
          </a:r>
          <a:r>
            <a:rPr b="0" i="0" lang="en-US" sz="1600">
              <a:latin typeface="Times New Roman"/>
              <a:ea typeface="Times New Roman"/>
              <a:cs typeface="Times New Roman"/>
              <a:sym typeface="Times New Roman"/>
            </a:rPr>
            <a:t>. </a:t>
          </a:r>
          <a:endParaRPr b="0" i="0" sz="16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133350</xdr:colOff>
      <xdr:row>26</xdr:row>
      <xdr:rowOff>19050</xdr:rowOff>
    </xdr:from>
    <xdr:ext cx="4657725" cy="466725"/>
    <xdr:sp>
      <xdr:nvSpPr>
        <xdr:cNvPr id="7" name="Shape 7"/>
        <xdr:cNvSpPr txBox="1"/>
      </xdr:nvSpPr>
      <xdr:spPr>
        <a:xfrm>
          <a:off x="3021900" y="3551400"/>
          <a:ext cx="4648200" cy="457200"/>
        </a:xfrm>
        <a:prstGeom prst="rect">
          <a:avLst/>
        </a:prstGeom>
        <a:noFill/>
        <a:ln>
          <a:noFill/>
        </a:ln>
      </xdr:spPr>
      <xdr:txBody>
        <a:bodyPr anchorCtr="0" anchor="ctr" bIns="0" lIns="45700" spcFirstLastPara="1" rIns="0" wrap="square" tIns="365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Times New Roman"/>
            <a:buNone/>
          </a:pPr>
          <a:r>
            <a:rPr b="1" i="0" lang="en-US" sz="18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ГРАФИК УЧЕБНОГО ПРОЦЕССА 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48</xdr:row>
      <xdr:rowOff>114300</xdr:rowOff>
    </xdr:from>
    <xdr:ext cx="8753475" cy="581025"/>
    <xdr:sp>
      <xdr:nvSpPr>
        <xdr:cNvPr id="8" name="Shape 8"/>
        <xdr:cNvSpPr txBox="1"/>
      </xdr:nvSpPr>
      <xdr:spPr>
        <a:xfrm>
          <a:off x="974025" y="3494250"/>
          <a:ext cx="8743950" cy="571500"/>
        </a:xfrm>
        <a:prstGeom prst="rect">
          <a:avLst/>
        </a:prstGeom>
        <a:noFill/>
        <a:ln>
          <a:noFill/>
        </a:ln>
      </xdr:spPr>
      <xdr:txBody>
        <a:bodyPr anchorCtr="0" anchor="t" bIns="0" lIns="45700" spcFirstLastPara="1" rIns="0" wrap="square" tIns="365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Times New Roman"/>
            <a:buNone/>
          </a:pPr>
          <a:r>
            <a:rPr b="1" i="0" lang="en-US" sz="18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СВОДНЫЕ ДАННЫЕ ПО БЮДЖЕТУ ВРЕМЕНИ  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5.14"/>
    <col customWidth="1" min="3" max="3" width="6.43"/>
    <col customWidth="1" min="4" max="4" width="6.14"/>
    <col customWidth="1" min="5" max="5" width="5.43"/>
    <col customWidth="1" min="6" max="6" width="6.0"/>
    <col customWidth="1" min="7" max="7" width="5.14"/>
    <col customWidth="1" min="8" max="8" width="5.29"/>
    <col customWidth="1" min="9" max="9" width="6.0"/>
    <col customWidth="1" min="10" max="11" width="5.29"/>
    <col customWidth="1" min="12" max="12" width="6.0"/>
    <col customWidth="1" min="13" max="13" width="5.86"/>
    <col customWidth="1" min="14" max="15" width="6.0"/>
    <col customWidth="1" min="16" max="16" width="5.71"/>
    <col customWidth="1" min="17" max="18" width="5.43"/>
    <col customWidth="1" min="19" max="19" width="6.86"/>
    <col customWidth="1" min="20" max="20" width="5.29"/>
    <col customWidth="1" min="21" max="21" width="5.14"/>
    <col customWidth="1" min="22" max="22" width="5.71"/>
    <col customWidth="1" min="23" max="24" width="5.29"/>
    <col customWidth="1" min="25" max="25" width="5.14"/>
    <col customWidth="1" min="26" max="26" width="6.57"/>
    <col customWidth="1" min="27" max="27" width="5.14"/>
    <col customWidth="1" min="28" max="28" width="5.43"/>
    <col customWidth="1" min="29" max="29" width="6.29"/>
    <col customWidth="1" min="30" max="30" width="5.14"/>
    <col customWidth="1" min="31" max="31" width="4.86"/>
    <col customWidth="1" min="32" max="32" width="5.86"/>
    <col customWidth="1" min="33" max="35" width="5.57"/>
    <col customWidth="1" min="36" max="36" width="6.14"/>
    <col customWidth="1" min="37" max="37" width="5.57"/>
    <col customWidth="1" min="38" max="38" width="4.29"/>
    <col customWidth="1" min="39" max="39" width="5.0"/>
    <col customWidth="1" min="40" max="40" width="5.29"/>
    <col customWidth="1" min="41" max="41" width="5.43"/>
    <col customWidth="1" min="42" max="42" width="4.86"/>
    <col customWidth="1" min="43" max="43" width="4.71"/>
    <col customWidth="1" min="44" max="44" width="5.14"/>
    <col customWidth="1" min="45" max="45" width="6.29"/>
    <col customWidth="1" min="46" max="46" width="5.0"/>
    <col customWidth="1" min="47" max="47" width="4.57"/>
    <col customWidth="1" min="48" max="48" width="4.71"/>
    <col customWidth="1" min="49" max="49" width="6.57"/>
    <col customWidth="1" min="50" max="50" width="3.71"/>
    <col customWidth="1" min="51" max="51" width="4.43"/>
    <col customWidth="1" min="52" max="52" width="4.57"/>
    <col customWidth="1" min="53" max="53" width="3.86"/>
    <col customWidth="1" min="54" max="55" width="8.71"/>
  </cols>
  <sheetData>
    <row r="1">
      <c r="A1" s="1"/>
      <c r="B1" s="2" t="s">
        <v>0</v>
      </c>
      <c r="BB1" s="2"/>
      <c r="BC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15" ht="13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35.25" customHeight="1">
      <c r="A30" s="5" t="s">
        <v>1</v>
      </c>
      <c r="B30" s="6" t="s">
        <v>2</v>
      </c>
      <c r="C30" s="7"/>
      <c r="D30" s="7"/>
      <c r="E30" s="7"/>
      <c r="F30" s="8"/>
      <c r="G30" s="6" t="s">
        <v>3</v>
      </c>
      <c r="H30" s="7"/>
      <c r="I30" s="7"/>
      <c r="J30" s="9"/>
      <c r="K30" s="6" t="s">
        <v>4</v>
      </c>
      <c r="L30" s="7"/>
      <c r="M30" s="7"/>
      <c r="N30" s="7"/>
      <c r="O30" s="10" t="s">
        <v>5</v>
      </c>
      <c r="P30" s="7"/>
      <c r="Q30" s="7"/>
      <c r="R30" s="11"/>
      <c r="S30" s="12"/>
      <c r="T30" s="6" t="s">
        <v>6</v>
      </c>
      <c r="U30" s="7"/>
      <c r="V30" s="7"/>
      <c r="W30" s="11"/>
      <c r="X30" s="6" t="s">
        <v>7</v>
      </c>
      <c r="Y30" s="7"/>
      <c r="Z30" s="7"/>
      <c r="AA30" s="11"/>
      <c r="AB30" s="6" t="s">
        <v>8</v>
      </c>
      <c r="AC30" s="7"/>
      <c r="AD30" s="7"/>
      <c r="AE30" s="7"/>
      <c r="AF30" s="8"/>
      <c r="AG30" s="6" t="s">
        <v>9</v>
      </c>
      <c r="AH30" s="7"/>
      <c r="AI30" s="7"/>
      <c r="AJ30" s="8"/>
      <c r="AK30" s="10" t="s">
        <v>10</v>
      </c>
      <c r="AL30" s="7"/>
      <c r="AM30" s="7"/>
      <c r="AN30" s="11"/>
      <c r="AO30" s="6" t="s">
        <v>11</v>
      </c>
      <c r="AP30" s="7"/>
      <c r="AQ30" s="7"/>
      <c r="AR30" s="7"/>
      <c r="AS30" s="8"/>
      <c r="AT30" s="6" t="s">
        <v>12</v>
      </c>
      <c r="AU30" s="7"/>
      <c r="AV30" s="7"/>
      <c r="AW30" s="8"/>
      <c r="AX30" s="6" t="s">
        <v>13</v>
      </c>
      <c r="AY30" s="7"/>
      <c r="AZ30" s="7"/>
      <c r="BA30" s="11"/>
      <c r="BB30" s="1"/>
      <c r="BC30" s="1"/>
    </row>
    <row r="31" ht="15.75" customHeight="1">
      <c r="A31" s="13" t="s">
        <v>14</v>
      </c>
      <c r="B31" s="14">
        <v>2.0</v>
      </c>
      <c r="C31" s="15">
        <v>9.0</v>
      </c>
      <c r="D31" s="15">
        <v>16.0</v>
      </c>
      <c r="E31" s="16">
        <v>23.0</v>
      </c>
      <c r="F31" s="17" t="s">
        <v>15</v>
      </c>
      <c r="G31" s="14">
        <v>7.0</v>
      </c>
      <c r="H31" s="15">
        <v>14.0</v>
      </c>
      <c r="I31" s="16">
        <v>21.0</v>
      </c>
      <c r="J31" s="18" t="s">
        <v>16</v>
      </c>
      <c r="K31" s="14">
        <v>4.0</v>
      </c>
      <c r="L31" s="15">
        <v>11.0</v>
      </c>
      <c r="M31" s="15">
        <v>18.0</v>
      </c>
      <c r="N31" s="16">
        <v>25.0</v>
      </c>
      <c r="O31" s="19">
        <v>2.0</v>
      </c>
      <c r="P31" s="15">
        <v>9.0</v>
      </c>
      <c r="Q31" s="15">
        <v>16.0</v>
      </c>
      <c r="R31" s="20">
        <v>23.0</v>
      </c>
      <c r="S31" s="21" t="s">
        <v>17</v>
      </c>
      <c r="T31" s="14">
        <v>6.0</v>
      </c>
      <c r="U31" s="15">
        <v>13.0</v>
      </c>
      <c r="V31" s="16">
        <v>20.0</v>
      </c>
      <c r="W31" s="17">
        <v>27.0</v>
      </c>
      <c r="X31" s="14">
        <v>3.0</v>
      </c>
      <c r="Y31" s="15">
        <v>10.0</v>
      </c>
      <c r="Z31" s="16">
        <v>17.0</v>
      </c>
      <c r="AA31" s="17">
        <v>24.0</v>
      </c>
      <c r="AB31" s="14">
        <v>3.0</v>
      </c>
      <c r="AC31" s="15">
        <v>10.0</v>
      </c>
      <c r="AD31" s="15">
        <v>17.0</v>
      </c>
      <c r="AE31" s="16">
        <v>24.0</v>
      </c>
      <c r="AF31" s="17" t="s">
        <v>18</v>
      </c>
      <c r="AG31" s="14">
        <v>7.0</v>
      </c>
      <c r="AH31" s="15">
        <v>14.0</v>
      </c>
      <c r="AI31" s="16">
        <v>21.0</v>
      </c>
      <c r="AJ31" s="17" t="s">
        <v>19</v>
      </c>
      <c r="AK31" s="14">
        <v>5.0</v>
      </c>
      <c r="AL31" s="15">
        <v>12.0</v>
      </c>
      <c r="AM31" s="15">
        <v>19.0</v>
      </c>
      <c r="AN31" s="16">
        <v>26.0</v>
      </c>
      <c r="AO31" s="19">
        <v>2.0</v>
      </c>
      <c r="AP31" s="15">
        <v>9.0</v>
      </c>
      <c r="AQ31" s="15">
        <v>16.0</v>
      </c>
      <c r="AR31" s="20">
        <v>23.0</v>
      </c>
      <c r="AS31" s="22" t="s">
        <v>20</v>
      </c>
      <c r="AT31" s="19">
        <v>7.0</v>
      </c>
      <c r="AU31" s="15">
        <v>14.0</v>
      </c>
      <c r="AV31" s="20">
        <v>21.0</v>
      </c>
      <c r="AW31" s="22" t="s">
        <v>21</v>
      </c>
      <c r="AX31" s="19">
        <v>4.0</v>
      </c>
      <c r="AY31" s="15">
        <v>11.0</v>
      </c>
      <c r="AZ31" s="15">
        <v>18.0</v>
      </c>
      <c r="BA31" s="20">
        <v>25.0</v>
      </c>
      <c r="BB31" s="1"/>
      <c r="BC31" s="1"/>
    </row>
    <row r="32" ht="17.25" customHeight="1">
      <c r="A32" s="23"/>
      <c r="B32" s="24">
        <v>6.0</v>
      </c>
      <c r="C32" s="25">
        <v>13.0</v>
      </c>
      <c r="D32" s="25">
        <v>20.0</v>
      </c>
      <c r="E32" s="26">
        <v>27.0</v>
      </c>
      <c r="F32" s="27" t="s">
        <v>22</v>
      </c>
      <c r="G32" s="24">
        <v>11.0</v>
      </c>
      <c r="H32" s="25">
        <v>18.0</v>
      </c>
      <c r="I32" s="26">
        <v>25.0</v>
      </c>
      <c r="J32" s="28" t="s">
        <v>23</v>
      </c>
      <c r="K32" s="24">
        <v>8.0</v>
      </c>
      <c r="L32" s="25">
        <v>15.0</v>
      </c>
      <c r="M32" s="25">
        <v>22.0</v>
      </c>
      <c r="N32" s="26">
        <v>29.0</v>
      </c>
      <c r="O32" s="29">
        <v>6.0</v>
      </c>
      <c r="P32" s="25">
        <v>13.0</v>
      </c>
      <c r="Q32" s="25">
        <v>20.0</v>
      </c>
      <c r="R32" s="30">
        <v>27.0</v>
      </c>
      <c r="S32" s="31" t="s">
        <v>24</v>
      </c>
      <c r="T32" s="24">
        <v>10.0</v>
      </c>
      <c r="U32" s="25">
        <v>17.0</v>
      </c>
      <c r="V32" s="26">
        <v>24.0</v>
      </c>
      <c r="W32" s="27">
        <v>31.0</v>
      </c>
      <c r="X32" s="24">
        <v>7.0</v>
      </c>
      <c r="Y32" s="25">
        <v>14.0</v>
      </c>
      <c r="Z32" s="26">
        <v>21.0</v>
      </c>
      <c r="AA32" s="27">
        <v>28.0</v>
      </c>
      <c r="AB32" s="24">
        <v>7.0</v>
      </c>
      <c r="AC32" s="25">
        <v>14.0</v>
      </c>
      <c r="AD32" s="25">
        <v>21.0</v>
      </c>
      <c r="AE32" s="26">
        <v>28.0</v>
      </c>
      <c r="AF32" s="27" t="s">
        <v>25</v>
      </c>
      <c r="AG32" s="24">
        <v>12.0</v>
      </c>
      <c r="AH32" s="25">
        <v>19.0</v>
      </c>
      <c r="AI32" s="26">
        <v>26.0</v>
      </c>
      <c r="AJ32" s="27" t="s">
        <v>26</v>
      </c>
      <c r="AK32" s="24">
        <v>9.0</v>
      </c>
      <c r="AL32" s="25">
        <v>16.0</v>
      </c>
      <c r="AM32" s="25">
        <v>23.0</v>
      </c>
      <c r="AN32" s="26">
        <v>30.0</v>
      </c>
      <c r="AO32" s="29">
        <v>6.0</v>
      </c>
      <c r="AP32" s="25">
        <v>13.0</v>
      </c>
      <c r="AQ32" s="25">
        <v>20.0</v>
      </c>
      <c r="AR32" s="30">
        <v>27.0</v>
      </c>
      <c r="AS32" s="32" t="s">
        <v>27</v>
      </c>
      <c r="AT32" s="29">
        <v>11.0</v>
      </c>
      <c r="AU32" s="25">
        <v>18.0</v>
      </c>
      <c r="AV32" s="30">
        <v>25.0</v>
      </c>
      <c r="AW32" s="32" t="s">
        <v>28</v>
      </c>
      <c r="AX32" s="29">
        <v>8.0</v>
      </c>
      <c r="AY32" s="25">
        <v>15.0</v>
      </c>
      <c r="AZ32" s="25">
        <v>22.0</v>
      </c>
      <c r="BA32" s="30">
        <v>29.0</v>
      </c>
      <c r="BB32" s="1"/>
      <c r="BC32" s="1"/>
    </row>
    <row r="33" ht="19.5" customHeight="1">
      <c r="A33" s="33" t="s">
        <v>29</v>
      </c>
      <c r="B33" s="34">
        <v>1.0</v>
      </c>
      <c r="C33" s="35">
        <v>2.0</v>
      </c>
      <c r="D33" s="35">
        <v>3.0</v>
      </c>
      <c r="E33" s="35">
        <v>4.0</v>
      </c>
      <c r="F33" s="35">
        <v>5.0</v>
      </c>
      <c r="G33" s="35">
        <v>6.0</v>
      </c>
      <c r="H33" s="35">
        <v>7.0</v>
      </c>
      <c r="I33" s="35">
        <v>8.0</v>
      </c>
      <c r="J33" s="36">
        <v>9.0</v>
      </c>
      <c r="K33" s="35">
        <v>10.0</v>
      </c>
      <c r="L33" s="35">
        <v>11.0</v>
      </c>
      <c r="M33" s="35">
        <v>12.0</v>
      </c>
      <c r="N33" s="35">
        <v>13.0</v>
      </c>
      <c r="O33" s="35">
        <v>14.0</v>
      </c>
      <c r="P33" s="35">
        <v>15.0</v>
      </c>
      <c r="Q33" s="35">
        <v>16.0</v>
      </c>
      <c r="R33" s="35">
        <v>17.0</v>
      </c>
      <c r="S33" s="35">
        <v>18.0</v>
      </c>
      <c r="T33" s="35">
        <v>19.0</v>
      </c>
      <c r="U33" s="35">
        <v>20.0</v>
      </c>
      <c r="V33" s="35">
        <v>21.0</v>
      </c>
      <c r="W33" s="35">
        <v>22.0</v>
      </c>
      <c r="X33" s="35">
        <v>23.0</v>
      </c>
      <c r="Y33" s="35">
        <v>24.0</v>
      </c>
      <c r="Z33" s="35">
        <v>25.0</v>
      </c>
      <c r="AA33" s="35">
        <v>26.0</v>
      </c>
      <c r="AB33" s="35">
        <v>27.0</v>
      </c>
      <c r="AC33" s="35">
        <v>28.0</v>
      </c>
      <c r="AD33" s="35">
        <v>29.0</v>
      </c>
      <c r="AE33" s="35">
        <v>30.0</v>
      </c>
      <c r="AF33" s="35">
        <v>31.0</v>
      </c>
      <c r="AG33" s="35">
        <v>32.0</v>
      </c>
      <c r="AH33" s="35">
        <v>33.0</v>
      </c>
      <c r="AI33" s="35">
        <v>34.0</v>
      </c>
      <c r="AJ33" s="35">
        <v>35.0</v>
      </c>
      <c r="AK33" s="35">
        <v>36.0</v>
      </c>
      <c r="AL33" s="35">
        <v>37.0</v>
      </c>
      <c r="AM33" s="35">
        <v>38.0</v>
      </c>
      <c r="AN33" s="35">
        <v>39.0</v>
      </c>
      <c r="AO33" s="35">
        <v>40.0</v>
      </c>
      <c r="AP33" s="35">
        <v>41.0</v>
      </c>
      <c r="AQ33" s="35">
        <v>42.0</v>
      </c>
      <c r="AR33" s="35">
        <v>43.0</v>
      </c>
      <c r="AS33" s="35">
        <v>44.0</v>
      </c>
      <c r="AT33" s="35">
        <v>45.0</v>
      </c>
      <c r="AU33" s="35">
        <v>46.0</v>
      </c>
      <c r="AV33" s="35">
        <v>47.0</v>
      </c>
      <c r="AW33" s="35">
        <v>48.0</v>
      </c>
      <c r="AX33" s="35">
        <v>49.0</v>
      </c>
      <c r="AY33" s="35">
        <v>50.0</v>
      </c>
      <c r="AZ33" s="35">
        <v>51.0</v>
      </c>
      <c r="BA33" s="35">
        <v>52.0</v>
      </c>
    </row>
    <row r="34" ht="15.75" customHeight="1">
      <c r="A34" s="37" t="s">
        <v>30</v>
      </c>
      <c r="B34" s="38" t="s">
        <v>31</v>
      </c>
      <c r="C34" s="38" t="s">
        <v>31</v>
      </c>
      <c r="D34" s="38" t="s">
        <v>31</v>
      </c>
      <c r="E34" s="38" t="s">
        <v>31</v>
      </c>
      <c r="F34" s="38" t="s">
        <v>31</v>
      </c>
      <c r="G34" s="38" t="s">
        <v>31</v>
      </c>
      <c r="H34" s="38" t="s">
        <v>31</v>
      </c>
      <c r="I34" s="38" t="s">
        <v>31</v>
      </c>
      <c r="J34" s="38" t="s">
        <v>31</v>
      </c>
      <c r="K34" s="38" t="s">
        <v>31</v>
      </c>
      <c r="L34" s="38" t="s">
        <v>31</v>
      </c>
      <c r="M34" s="38" t="s">
        <v>31</v>
      </c>
      <c r="N34" s="38" t="s">
        <v>31</v>
      </c>
      <c r="O34" s="38" t="s">
        <v>31</v>
      </c>
      <c r="P34" s="38" t="s">
        <v>31</v>
      </c>
      <c r="Q34" s="38" t="s">
        <v>31</v>
      </c>
      <c r="R34" s="38" t="s">
        <v>31</v>
      </c>
      <c r="S34" s="39" t="s">
        <v>32</v>
      </c>
      <c r="T34" s="39" t="s">
        <v>32</v>
      </c>
      <c r="U34" s="38" t="s">
        <v>31</v>
      </c>
      <c r="V34" s="38" t="s">
        <v>31</v>
      </c>
      <c r="W34" s="38" t="s">
        <v>31</v>
      </c>
      <c r="X34" s="38" t="s">
        <v>31</v>
      </c>
      <c r="Y34" s="38" t="s">
        <v>31</v>
      </c>
      <c r="Z34" s="38" t="s">
        <v>31</v>
      </c>
      <c r="AA34" s="38" t="s">
        <v>31</v>
      </c>
      <c r="AB34" s="38" t="s">
        <v>31</v>
      </c>
      <c r="AC34" s="38" t="s">
        <v>31</v>
      </c>
      <c r="AD34" s="38" t="s">
        <v>31</v>
      </c>
      <c r="AE34" s="38" t="s">
        <v>31</v>
      </c>
      <c r="AF34" s="38" t="s">
        <v>31</v>
      </c>
      <c r="AG34" s="38" t="s">
        <v>31</v>
      </c>
      <c r="AH34" s="38" t="s">
        <v>31</v>
      </c>
      <c r="AI34" s="38" t="s">
        <v>31</v>
      </c>
      <c r="AJ34" s="38" t="s">
        <v>31</v>
      </c>
      <c r="AK34" s="38" t="s">
        <v>31</v>
      </c>
      <c r="AL34" s="38" t="s">
        <v>31</v>
      </c>
      <c r="AM34" s="38" t="s">
        <v>31</v>
      </c>
      <c r="AN34" s="38" t="s">
        <v>31</v>
      </c>
      <c r="AO34" s="40" t="s">
        <v>33</v>
      </c>
      <c r="AP34" s="40" t="s">
        <v>33</v>
      </c>
      <c r="AQ34" s="39" t="s">
        <v>34</v>
      </c>
      <c r="AR34" s="39" t="s">
        <v>34</v>
      </c>
      <c r="AS34" s="41" t="s">
        <v>35</v>
      </c>
      <c r="AT34" s="39" t="s">
        <v>32</v>
      </c>
      <c r="AU34" s="39" t="s">
        <v>32</v>
      </c>
      <c r="AV34" s="39" t="s">
        <v>32</v>
      </c>
      <c r="AW34" s="39" t="s">
        <v>32</v>
      </c>
      <c r="AX34" s="39" t="s">
        <v>32</v>
      </c>
      <c r="AY34" s="39" t="s">
        <v>32</v>
      </c>
      <c r="AZ34" s="39" t="s">
        <v>32</v>
      </c>
      <c r="BA34" s="39" t="s">
        <v>32</v>
      </c>
    </row>
    <row r="35" ht="15.75" customHeight="1">
      <c r="A35" s="37" t="s">
        <v>36</v>
      </c>
      <c r="B35" s="38" t="s">
        <v>31</v>
      </c>
      <c r="C35" s="38" t="s">
        <v>31</v>
      </c>
      <c r="D35" s="38" t="s">
        <v>31</v>
      </c>
      <c r="E35" s="38" t="s">
        <v>31</v>
      </c>
      <c r="F35" s="38" t="s">
        <v>31</v>
      </c>
      <c r="G35" s="38" t="s">
        <v>31</v>
      </c>
      <c r="H35" s="38" t="s">
        <v>31</v>
      </c>
      <c r="I35" s="38" t="s">
        <v>31</v>
      </c>
      <c r="J35" s="38" t="s">
        <v>31</v>
      </c>
      <c r="K35" s="38" t="s">
        <v>31</v>
      </c>
      <c r="L35" s="38" t="s">
        <v>31</v>
      </c>
      <c r="M35" s="38" t="s">
        <v>31</v>
      </c>
      <c r="N35" s="39" t="s">
        <v>37</v>
      </c>
      <c r="O35" s="39" t="s">
        <v>37</v>
      </c>
      <c r="P35" s="39" t="s">
        <v>37</v>
      </c>
      <c r="Q35" s="39" t="s">
        <v>37</v>
      </c>
      <c r="R35" s="39" t="s">
        <v>37</v>
      </c>
      <c r="S35" s="39" t="s">
        <v>32</v>
      </c>
      <c r="T35" s="39" t="s">
        <v>32</v>
      </c>
      <c r="U35" s="38" t="s">
        <v>31</v>
      </c>
      <c r="V35" s="38" t="s">
        <v>31</v>
      </c>
      <c r="W35" s="38" t="s">
        <v>31</v>
      </c>
      <c r="X35" s="38" t="s">
        <v>31</v>
      </c>
      <c r="Y35" s="38" t="s">
        <v>31</v>
      </c>
      <c r="Z35" s="38" t="s">
        <v>31</v>
      </c>
      <c r="AA35" s="38" t="s">
        <v>31</v>
      </c>
      <c r="AB35" s="38" t="s">
        <v>31</v>
      </c>
      <c r="AC35" s="38" t="s">
        <v>31</v>
      </c>
      <c r="AD35" s="38" t="s">
        <v>31</v>
      </c>
      <c r="AE35" s="38" t="s">
        <v>31</v>
      </c>
      <c r="AF35" s="39" t="s">
        <v>37</v>
      </c>
      <c r="AG35" s="39" t="s">
        <v>37</v>
      </c>
      <c r="AH35" s="39" t="s">
        <v>37</v>
      </c>
      <c r="AI35" s="39" t="s">
        <v>37</v>
      </c>
      <c r="AJ35" s="39" t="s">
        <v>37</v>
      </c>
      <c r="AK35" s="39" t="s">
        <v>37</v>
      </c>
      <c r="AL35" s="39" t="s">
        <v>37</v>
      </c>
      <c r="AM35" s="39" t="s">
        <v>37</v>
      </c>
      <c r="AN35" s="39" t="s">
        <v>37</v>
      </c>
      <c r="AO35" s="39" t="s">
        <v>37</v>
      </c>
      <c r="AP35" s="39" t="s">
        <v>37</v>
      </c>
      <c r="AQ35" s="39" t="s">
        <v>34</v>
      </c>
      <c r="AR35" s="39" t="s">
        <v>34</v>
      </c>
      <c r="AS35" s="41" t="s">
        <v>35</v>
      </c>
      <c r="AT35" s="39" t="s">
        <v>32</v>
      </c>
      <c r="AU35" s="39" t="s">
        <v>32</v>
      </c>
      <c r="AV35" s="39" t="s">
        <v>32</v>
      </c>
      <c r="AW35" s="39" t="s">
        <v>32</v>
      </c>
      <c r="AX35" s="39" t="s">
        <v>32</v>
      </c>
      <c r="AY35" s="39" t="s">
        <v>32</v>
      </c>
      <c r="AZ35" s="39" t="s">
        <v>32</v>
      </c>
      <c r="BA35" s="39" t="s">
        <v>32</v>
      </c>
    </row>
    <row r="36" ht="15.75" customHeight="1">
      <c r="A36" s="37" t="s">
        <v>38</v>
      </c>
      <c r="B36" s="38" t="s">
        <v>31</v>
      </c>
      <c r="C36" s="38" t="s">
        <v>31</v>
      </c>
      <c r="D36" s="38" t="s">
        <v>31</v>
      </c>
      <c r="E36" s="38" t="s">
        <v>31</v>
      </c>
      <c r="F36" s="38" t="s">
        <v>31</v>
      </c>
      <c r="G36" s="38" t="s">
        <v>31</v>
      </c>
      <c r="H36" s="38" t="s">
        <v>31</v>
      </c>
      <c r="I36" s="38" t="s">
        <v>31</v>
      </c>
      <c r="J36" s="38" t="s">
        <v>31</v>
      </c>
      <c r="K36" s="38" t="s">
        <v>31</v>
      </c>
      <c r="L36" s="39" t="s">
        <v>37</v>
      </c>
      <c r="M36" s="39" t="s">
        <v>37</v>
      </c>
      <c r="N36" s="39" t="s">
        <v>37</v>
      </c>
      <c r="O36" s="39" t="s">
        <v>37</v>
      </c>
      <c r="P36" s="39" t="s">
        <v>37</v>
      </c>
      <c r="Q36" s="39" t="s">
        <v>37</v>
      </c>
      <c r="R36" s="39" t="s">
        <v>37</v>
      </c>
      <c r="S36" s="39" t="s">
        <v>32</v>
      </c>
      <c r="T36" s="39" t="s">
        <v>32</v>
      </c>
      <c r="U36" s="38" t="s">
        <v>31</v>
      </c>
      <c r="V36" s="38" t="s">
        <v>31</v>
      </c>
      <c r="W36" s="38" t="s">
        <v>31</v>
      </c>
      <c r="X36" s="38" t="s">
        <v>31</v>
      </c>
      <c r="Y36" s="38" t="s">
        <v>31</v>
      </c>
      <c r="Z36" s="38" t="s">
        <v>31</v>
      </c>
      <c r="AA36" s="38" t="s">
        <v>31</v>
      </c>
      <c r="AB36" s="38" t="s">
        <v>31</v>
      </c>
      <c r="AC36" s="38" t="s">
        <v>31</v>
      </c>
      <c r="AD36" s="39" t="s">
        <v>37</v>
      </c>
      <c r="AE36" s="39" t="s">
        <v>37</v>
      </c>
      <c r="AF36" s="39" t="s">
        <v>37</v>
      </c>
      <c r="AG36" s="39" t="s">
        <v>37</v>
      </c>
      <c r="AH36" s="39" t="s">
        <v>37</v>
      </c>
      <c r="AI36" s="39" t="s">
        <v>37</v>
      </c>
      <c r="AJ36" s="39" t="s">
        <v>37</v>
      </c>
      <c r="AK36" s="39" t="s">
        <v>37</v>
      </c>
      <c r="AL36" s="39" t="s">
        <v>37</v>
      </c>
      <c r="AM36" s="39" t="s">
        <v>37</v>
      </c>
      <c r="AN36" s="39" t="s">
        <v>37</v>
      </c>
      <c r="AO36" s="39" t="s">
        <v>37</v>
      </c>
      <c r="AP36" s="39" t="s">
        <v>37</v>
      </c>
      <c r="AQ36" s="39" t="s">
        <v>34</v>
      </c>
      <c r="AR36" s="39" t="s">
        <v>34</v>
      </c>
      <c r="AS36" s="41" t="s">
        <v>35</v>
      </c>
      <c r="AT36" s="39" t="s">
        <v>32</v>
      </c>
      <c r="AU36" s="39" t="s">
        <v>32</v>
      </c>
      <c r="AV36" s="39" t="s">
        <v>32</v>
      </c>
      <c r="AW36" s="39" t="s">
        <v>32</v>
      </c>
      <c r="AX36" s="39" t="s">
        <v>32</v>
      </c>
      <c r="AY36" s="39" t="s">
        <v>32</v>
      </c>
      <c r="AZ36" s="39" t="s">
        <v>32</v>
      </c>
      <c r="BA36" s="39" t="s">
        <v>32</v>
      </c>
    </row>
    <row r="37" ht="15.75" customHeight="1">
      <c r="A37" s="37" t="s">
        <v>39</v>
      </c>
      <c r="B37" s="38" t="s">
        <v>31</v>
      </c>
      <c r="C37" s="38" t="s">
        <v>31</v>
      </c>
      <c r="D37" s="38" t="s">
        <v>31</v>
      </c>
      <c r="E37" s="38" t="s">
        <v>31</v>
      </c>
      <c r="F37" s="38" t="s">
        <v>31</v>
      </c>
      <c r="G37" s="38" t="s">
        <v>31</v>
      </c>
      <c r="H37" s="38" t="s">
        <v>31</v>
      </c>
      <c r="I37" s="38" t="s">
        <v>31</v>
      </c>
      <c r="J37" s="41" t="s">
        <v>40</v>
      </c>
      <c r="K37" s="41" t="s">
        <v>40</v>
      </c>
      <c r="L37" s="41" t="s">
        <v>40</v>
      </c>
      <c r="M37" s="41" t="s">
        <v>40</v>
      </c>
      <c r="N37" s="41" t="s">
        <v>40</v>
      </c>
      <c r="O37" s="41" t="s">
        <v>40</v>
      </c>
      <c r="P37" s="41" t="s">
        <v>40</v>
      </c>
      <c r="Q37" s="41" t="s">
        <v>40</v>
      </c>
      <c r="R37" s="41" t="s">
        <v>40</v>
      </c>
      <c r="S37" s="39" t="s">
        <v>32</v>
      </c>
      <c r="T37" s="39" t="s">
        <v>32</v>
      </c>
      <c r="U37" s="41" t="s">
        <v>40</v>
      </c>
      <c r="V37" s="41" t="s">
        <v>40</v>
      </c>
      <c r="W37" s="41" t="s">
        <v>40</v>
      </c>
      <c r="X37" s="41" t="s">
        <v>40</v>
      </c>
      <c r="Y37" s="41" t="s">
        <v>40</v>
      </c>
      <c r="Z37" s="41" t="s">
        <v>40</v>
      </c>
      <c r="AA37" s="41" t="s">
        <v>40</v>
      </c>
      <c r="AB37" s="41" t="s">
        <v>40</v>
      </c>
      <c r="AC37" s="41" t="s">
        <v>40</v>
      </c>
      <c r="AD37" s="41" t="s">
        <v>40</v>
      </c>
      <c r="AE37" s="41" t="s">
        <v>40</v>
      </c>
      <c r="AF37" s="41" t="s">
        <v>40</v>
      </c>
      <c r="AG37" s="41" t="s">
        <v>40</v>
      </c>
      <c r="AH37" s="41" t="s">
        <v>40</v>
      </c>
      <c r="AI37" s="41" t="s">
        <v>40</v>
      </c>
      <c r="AJ37" s="41" t="s">
        <v>40</v>
      </c>
      <c r="AK37" s="41" t="s">
        <v>41</v>
      </c>
      <c r="AL37" s="41" t="s">
        <v>41</v>
      </c>
      <c r="AM37" s="41" t="s">
        <v>41</v>
      </c>
      <c r="AN37" s="41" t="s">
        <v>41</v>
      </c>
      <c r="AO37" s="41" t="s">
        <v>41</v>
      </c>
      <c r="AP37" s="41" t="s">
        <v>41</v>
      </c>
      <c r="AQ37" s="41" t="s">
        <v>42</v>
      </c>
      <c r="AR37" s="41" t="s">
        <v>42</v>
      </c>
      <c r="AS37" s="41" t="s">
        <v>35</v>
      </c>
      <c r="AT37" s="42"/>
      <c r="AU37" s="42"/>
      <c r="AV37" s="42"/>
      <c r="AW37" s="42"/>
      <c r="AX37" s="42"/>
      <c r="AY37" s="42"/>
      <c r="AZ37" s="42"/>
      <c r="BA37" s="43"/>
    </row>
    <row r="38" ht="15.75" customHeight="1"/>
    <row r="39" ht="22.5" customHeight="1">
      <c r="A39" s="44" t="s">
        <v>43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</row>
    <row r="40" ht="19.5" customHeight="1">
      <c r="A40" s="46" t="s">
        <v>31</v>
      </c>
      <c r="B40" s="47" t="s">
        <v>44</v>
      </c>
      <c r="C40" s="47"/>
      <c r="D40" s="47"/>
      <c r="E40" s="47"/>
      <c r="F40" s="47"/>
      <c r="G40" s="47"/>
      <c r="H40" s="47"/>
      <c r="I40" s="48"/>
      <c r="J40" s="48"/>
      <c r="K40" s="48"/>
      <c r="L40" s="48"/>
      <c r="M40" s="48"/>
      <c r="N40" s="48"/>
      <c r="O40" s="48"/>
      <c r="P40" s="48"/>
      <c r="Q40" s="48"/>
      <c r="R40" s="49"/>
      <c r="S40" s="48"/>
      <c r="T40" s="48"/>
      <c r="U40" s="50"/>
      <c r="V40" s="48"/>
      <c r="W40" s="48"/>
      <c r="X40" s="50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2"/>
      <c r="AL40" s="53"/>
      <c r="AM40" s="53"/>
      <c r="AN40" s="54"/>
      <c r="AO40" s="1"/>
      <c r="AP40" s="1"/>
      <c r="AQ40" s="1"/>
      <c r="AR40" s="1"/>
      <c r="AS40" s="1"/>
    </row>
    <row r="41" ht="19.5" customHeight="1">
      <c r="A41" s="55" t="s">
        <v>40</v>
      </c>
      <c r="B41" s="47" t="s">
        <v>45</v>
      </c>
      <c r="C41" s="47"/>
      <c r="D41" s="47"/>
      <c r="E41" s="47"/>
      <c r="F41" s="47"/>
      <c r="G41" s="47"/>
      <c r="H41" s="47"/>
      <c r="I41" s="48"/>
      <c r="J41" s="48"/>
      <c r="K41" s="48"/>
      <c r="L41" s="48"/>
      <c r="M41" s="48"/>
      <c r="N41" s="48"/>
      <c r="O41" s="48"/>
      <c r="P41" s="48"/>
      <c r="Q41" s="48"/>
      <c r="R41" s="49"/>
      <c r="S41" s="48"/>
      <c r="T41" s="48"/>
      <c r="U41" s="50"/>
      <c r="V41" s="48"/>
      <c r="W41" s="48"/>
      <c r="X41" s="50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2"/>
      <c r="AL41" s="53"/>
      <c r="AM41" s="53"/>
      <c r="AN41" s="54"/>
      <c r="AO41" s="1"/>
      <c r="AP41" s="1"/>
      <c r="AQ41" s="1"/>
      <c r="AR41" s="1"/>
      <c r="AS41" s="1"/>
    </row>
    <row r="42" ht="19.5" customHeight="1">
      <c r="A42" s="46" t="s">
        <v>37</v>
      </c>
      <c r="B42" s="47" t="s">
        <v>46</v>
      </c>
      <c r="C42" s="47"/>
      <c r="D42" s="47"/>
      <c r="E42" s="47"/>
      <c r="F42" s="47"/>
      <c r="G42" s="47"/>
      <c r="H42" s="47"/>
      <c r="I42" s="48"/>
      <c r="J42" s="48"/>
      <c r="K42" s="48"/>
      <c r="L42" s="48"/>
      <c r="M42" s="48"/>
      <c r="N42" s="48"/>
      <c r="O42" s="48"/>
      <c r="P42" s="48"/>
      <c r="Q42" s="48"/>
      <c r="R42" s="49"/>
      <c r="S42" s="48"/>
      <c r="T42" s="48"/>
      <c r="U42" s="50"/>
      <c r="V42" s="48"/>
      <c r="W42" s="48"/>
      <c r="X42" s="50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2"/>
      <c r="AL42" s="53"/>
      <c r="AM42" s="53"/>
      <c r="AN42" s="54"/>
      <c r="AO42" s="1"/>
      <c r="AP42" s="1"/>
      <c r="AQ42" s="1"/>
      <c r="AR42" s="1"/>
      <c r="AS42" s="1"/>
    </row>
    <row r="43" ht="20.25" customHeight="1">
      <c r="A43" s="46" t="s">
        <v>34</v>
      </c>
      <c r="B43" s="47" t="s">
        <v>47</v>
      </c>
      <c r="C43" s="47"/>
      <c r="D43" s="47"/>
      <c r="E43" s="47"/>
      <c r="F43" s="47"/>
      <c r="G43" s="47"/>
      <c r="H43" s="47"/>
      <c r="I43" s="48"/>
      <c r="J43" s="48"/>
      <c r="K43" s="48"/>
      <c r="L43" s="48"/>
      <c r="M43" s="48"/>
      <c r="N43" s="50"/>
      <c r="O43" s="50"/>
      <c r="P43" s="50"/>
      <c r="Q43" s="56"/>
      <c r="R43" s="57"/>
      <c r="S43" s="50"/>
      <c r="T43" s="50"/>
      <c r="U43" s="58"/>
      <c r="V43" s="50"/>
      <c r="W43" s="50"/>
      <c r="X43" s="59"/>
      <c r="Y43" s="59"/>
      <c r="Z43" s="59"/>
      <c r="AA43" s="59"/>
      <c r="AB43" s="59"/>
      <c r="AC43" s="59"/>
      <c r="AD43" s="59"/>
      <c r="AE43" s="59"/>
      <c r="AF43" s="50"/>
      <c r="AG43" s="50"/>
      <c r="AH43" s="50"/>
      <c r="AI43" s="50"/>
      <c r="AJ43" s="50"/>
      <c r="AK43" s="50"/>
      <c r="AL43" s="50"/>
      <c r="AM43" s="50"/>
      <c r="AN43" s="60"/>
      <c r="AO43" s="61"/>
      <c r="AP43" s="59"/>
      <c r="AQ43" s="59"/>
      <c r="AR43" s="59"/>
      <c r="AS43" s="59"/>
    </row>
    <row r="44" ht="20.25" customHeight="1">
      <c r="A44" s="46" t="s">
        <v>32</v>
      </c>
      <c r="B44" s="62" t="s">
        <v>48</v>
      </c>
      <c r="C44" s="62"/>
      <c r="D44" s="62"/>
      <c r="E44" s="62"/>
      <c r="F44" s="62"/>
      <c r="G44" s="48"/>
      <c r="H44" s="48"/>
      <c r="I44" s="48"/>
      <c r="J44" s="48"/>
      <c r="K44" s="48"/>
      <c r="L44" s="48"/>
      <c r="M44" s="48"/>
      <c r="N44" s="50"/>
      <c r="O44" s="50"/>
      <c r="P44" s="50"/>
      <c r="Q44" s="56"/>
      <c r="R44" s="57"/>
      <c r="S44" s="50"/>
      <c r="T44" s="50"/>
      <c r="U44" s="58"/>
      <c r="V44" s="50"/>
      <c r="W44" s="50"/>
      <c r="X44" s="59"/>
      <c r="Y44" s="59"/>
      <c r="Z44" s="59"/>
      <c r="AA44" s="59"/>
      <c r="AB44" s="59"/>
      <c r="AC44" s="59"/>
      <c r="AD44" s="59"/>
      <c r="AE44" s="59"/>
      <c r="AF44" s="50"/>
      <c r="AG44" s="50"/>
      <c r="AH44" s="50"/>
      <c r="AI44" s="50"/>
      <c r="AJ44" s="50"/>
      <c r="AK44" s="50"/>
      <c r="AL44" s="50"/>
      <c r="AM44" s="50"/>
      <c r="AN44" s="60"/>
      <c r="AO44" s="61"/>
      <c r="AP44" s="59"/>
      <c r="AQ44" s="59"/>
      <c r="AR44" s="59"/>
      <c r="AS44" s="59"/>
    </row>
    <row r="45" ht="20.25" customHeight="1">
      <c r="A45" s="55" t="s">
        <v>35</v>
      </c>
      <c r="B45" s="48" t="s">
        <v>49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0"/>
      <c r="O45" s="50"/>
      <c r="P45" s="50"/>
      <c r="Q45" s="56"/>
      <c r="R45" s="57"/>
      <c r="S45" s="50"/>
      <c r="T45" s="50"/>
      <c r="U45" s="57"/>
      <c r="V45" s="50"/>
      <c r="W45" s="50"/>
      <c r="X45" s="48"/>
      <c r="Y45" s="48"/>
      <c r="Z45" s="48"/>
      <c r="AA45" s="48"/>
      <c r="AB45" s="48"/>
      <c r="AC45" s="48"/>
      <c r="AD45" s="48"/>
      <c r="AE45" s="48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9"/>
      <c r="AQ45" s="50"/>
      <c r="AR45" s="50"/>
      <c r="AS45" s="50"/>
    </row>
    <row r="46" ht="18.0" customHeight="1">
      <c r="A46" s="55" t="s">
        <v>42</v>
      </c>
      <c r="B46" s="62" t="s">
        <v>50</v>
      </c>
      <c r="C46" s="62"/>
      <c r="D46" s="62"/>
      <c r="E46" s="62"/>
      <c r="F46" s="63"/>
      <c r="G46" s="63"/>
      <c r="H46" s="48"/>
      <c r="I46" s="48"/>
      <c r="J46" s="48"/>
      <c r="K46" s="48"/>
      <c r="L46" s="48"/>
      <c r="M46" s="48"/>
      <c r="N46" s="50"/>
      <c r="O46" s="50"/>
      <c r="P46" s="50"/>
      <c r="Q46" s="56"/>
      <c r="R46" s="57"/>
      <c r="S46" s="50"/>
      <c r="T46" s="50"/>
      <c r="U46" s="57"/>
      <c r="V46" s="50"/>
      <c r="W46" s="50"/>
      <c r="X46" s="59"/>
      <c r="Y46" s="59"/>
      <c r="Z46" s="59"/>
      <c r="AA46" s="59"/>
      <c r="AB46" s="59"/>
      <c r="AC46" s="59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48"/>
      <c r="AP46" s="48"/>
      <c r="AQ46" s="48"/>
      <c r="AR46" s="48"/>
      <c r="AS46" s="48"/>
    </row>
    <row r="47" ht="21.75" customHeight="1">
      <c r="A47" s="64" t="s">
        <v>33</v>
      </c>
      <c r="B47" s="62" t="s">
        <v>51</v>
      </c>
      <c r="C47" s="65"/>
      <c r="D47" s="65"/>
      <c r="E47" s="65"/>
      <c r="F47" s="65"/>
      <c r="G47" s="63"/>
      <c r="H47" s="48"/>
      <c r="I47" s="48"/>
      <c r="J47" s="48"/>
      <c r="K47" s="48"/>
      <c r="L47" s="48"/>
      <c r="M47" s="48"/>
      <c r="N47" s="50"/>
      <c r="O47" s="50"/>
      <c r="P47" s="50"/>
      <c r="Q47" s="56"/>
      <c r="R47" s="57"/>
      <c r="S47" s="50"/>
      <c r="T47" s="50"/>
      <c r="U47" s="50"/>
      <c r="V47" s="50"/>
      <c r="W47" s="50"/>
      <c r="X47" s="50"/>
      <c r="Y47" s="50"/>
      <c r="Z47" s="50"/>
      <c r="AN47" s="50"/>
      <c r="AO47" s="50"/>
      <c r="AP47" s="59"/>
      <c r="AQ47" s="50"/>
      <c r="AR47" s="50"/>
      <c r="AS47" s="50"/>
    </row>
    <row r="48" ht="21.75" customHeight="1">
      <c r="A48" s="55" t="s">
        <v>41</v>
      </c>
      <c r="B48" s="47" t="s">
        <v>52</v>
      </c>
      <c r="G48" s="50"/>
      <c r="H48" s="48"/>
      <c r="I48" s="48"/>
      <c r="J48" s="48"/>
      <c r="K48" s="48"/>
      <c r="L48" s="48"/>
      <c r="M48" s="48"/>
      <c r="N48" s="50"/>
      <c r="O48" s="50"/>
      <c r="P48" s="50"/>
      <c r="Q48" s="66"/>
      <c r="R48" s="57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9"/>
      <c r="AQ48" s="50"/>
      <c r="AR48" s="50"/>
      <c r="AS48" s="50"/>
    </row>
    <row r="49" ht="15.0" customHeight="1"/>
    <row r="50" ht="15.75" customHeight="1"/>
    <row r="51" ht="15.75" customHeight="1"/>
    <row r="52" ht="18.75" customHeight="1">
      <c r="A52" s="67" t="s">
        <v>1</v>
      </c>
      <c r="B52" s="68"/>
      <c r="C52" s="69"/>
      <c r="D52" s="70" t="s">
        <v>53</v>
      </c>
      <c r="E52" s="71"/>
      <c r="F52" s="71"/>
      <c r="G52" s="71"/>
      <c r="H52" s="71"/>
      <c r="I52" s="71"/>
      <c r="J52" s="71"/>
      <c r="K52" s="71"/>
      <c r="L52" s="71"/>
      <c r="M52" s="71"/>
      <c r="N52" s="72"/>
      <c r="O52" s="73" t="s">
        <v>54</v>
      </c>
      <c r="P52" s="68"/>
      <c r="Q52" s="68"/>
      <c r="R52" s="68"/>
      <c r="S52" s="68"/>
      <c r="T52" s="69"/>
      <c r="U52" s="74" t="s">
        <v>55</v>
      </c>
      <c r="V52" s="68"/>
      <c r="W52" s="68"/>
      <c r="X52" s="68"/>
      <c r="Y52" s="68"/>
      <c r="Z52" s="69"/>
      <c r="AA52" s="73" t="s">
        <v>56</v>
      </c>
      <c r="AB52" s="68"/>
      <c r="AC52" s="68"/>
      <c r="AD52" s="68"/>
      <c r="AE52" s="68"/>
      <c r="AF52" s="69"/>
      <c r="AG52" s="73" t="s">
        <v>57</v>
      </c>
      <c r="AH52" s="68"/>
      <c r="AI52" s="68"/>
      <c r="AJ52" s="68"/>
      <c r="AK52" s="68"/>
      <c r="AL52" s="69"/>
      <c r="AM52" s="73" t="s">
        <v>58</v>
      </c>
      <c r="AN52" s="68"/>
      <c r="AO52" s="69"/>
      <c r="AP52" s="73" t="s">
        <v>59</v>
      </c>
      <c r="AQ52" s="68"/>
      <c r="AR52" s="69"/>
      <c r="AS52" s="73" t="s">
        <v>60</v>
      </c>
      <c r="AT52" s="68"/>
      <c r="AU52" s="68"/>
      <c r="AV52" s="68"/>
      <c r="AW52" s="68"/>
      <c r="AX52" s="69"/>
      <c r="AY52" s="1"/>
      <c r="AZ52" s="1"/>
      <c r="BA52" s="1"/>
      <c r="BB52" s="1"/>
      <c r="BC52" s="1"/>
    </row>
    <row r="53" ht="18.75" customHeight="1">
      <c r="A53" s="75"/>
      <c r="C53" s="76"/>
      <c r="D53" s="77" t="s">
        <v>61</v>
      </c>
      <c r="E53" s="68"/>
      <c r="F53" s="68"/>
      <c r="G53" s="69"/>
      <c r="H53" s="77" t="s">
        <v>62</v>
      </c>
      <c r="I53" s="68"/>
      <c r="J53" s="68"/>
      <c r="K53" s="69"/>
      <c r="L53" s="77" t="s">
        <v>63</v>
      </c>
      <c r="M53" s="68"/>
      <c r="N53" s="69"/>
      <c r="O53" s="75"/>
      <c r="T53" s="76"/>
      <c r="Z53" s="76"/>
      <c r="AA53" s="75"/>
      <c r="AF53" s="76"/>
      <c r="AG53" s="75"/>
      <c r="AL53" s="76"/>
      <c r="AM53" s="75"/>
      <c r="AO53" s="76"/>
      <c r="AP53" s="75"/>
      <c r="AR53" s="76"/>
      <c r="AS53" s="75"/>
      <c r="AX53" s="76"/>
      <c r="AY53" s="1"/>
      <c r="AZ53" s="1"/>
      <c r="BA53" s="1"/>
      <c r="BB53" s="1"/>
      <c r="BC53" s="1"/>
    </row>
    <row r="54" ht="43.5" customHeight="1">
      <c r="A54" s="78"/>
      <c r="B54" s="79"/>
      <c r="C54" s="80"/>
      <c r="D54" s="78"/>
      <c r="E54" s="79"/>
      <c r="F54" s="79"/>
      <c r="G54" s="80"/>
      <c r="H54" s="78"/>
      <c r="I54" s="79"/>
      <c r="J54" s="79"/>
      <c r="K54" s="80"/>
      <c r="L54" s="78"/>
      <c r="M54" s="79"/>
      <c r="N54" s="80"/>
      <c r="O54" s="78"/>
      <c r="P54" s="79"/>
      <c r="Q54" s="79"/>
      <c r="R54" s="79"/>
      <c r="S54" s="79"/>
      <c r="T54" s="80"/>
      <c r="U54" s="79"/>
      <c r="V54" s="79"/>
      <c r="W54" s="79"/>
      <c r="X54" s="79"/>
      <c r="Y54" s="79"/>
      <c r="Z54" s="80"/>
      <c r="AA54" s="78"/>
      <c r="AB54" s="79"/>
      <c r="AC54" s="79"/>
      <c r="AD54" s="79"/>
      <c r="AE54" s="79"/>
      <c r="AF54" s="80"/>
      <c r="AG54" s="78"/>
      <c r="AH54" s="79"/>
      <c r="AI54" s="79"/>
      <c r="AJ54" s="79"/>
      <c r="AK54" s="79"/>
      <c r="AL54" s="80"/>
      <c r="AM54" s="78"/>
      <c r="AN54" s="79"/>
      <c r="AO54" s="80"/>
      <c r="AP54" s="78"/>
      <c r="AQ54" s="79"/>
      <c r="AR54" s="80"/>
      <c r="AS54" s="78"/>
      <c r="AT54" s="79"/>
      <c r="AU54" s="79"/>
      <c r="AV54" s="79"/>
      <c r="AW54" s="79"/>
      <c r="AX54" s="80"/>
      <c r="AY54" s="1"/>
      <c r="AZ54" s="1"/>
      <c r="BA54" s="1"/>
      <c r="BB54" s="1"/>
      <c r="BC54" s="1"/>
    </row>
    <row r="55" ht="21.0" customHeight="1">
      <c r="A55" s="81" t="s">
        <v>30</v>
      </c>
      <c r="B55" s="71"/>
      <c r="C55" s="72"/>
      <c r="D55" s="82">
        <v>39.0</v>
      </c>
      <c r="E55" s="71"/>
      <c r="F55" s="71"/>
      <c r="G55" s="72"/>
      <c r="H55" s="83">
        <f t="shared" ref="H55:H58" si="1">L55/24</f>
        <v>57</v>
      </c>
      <c r="I55" s="71"/>
      <c r="J55" s="71"/>
      <c r="K55" s="72"/>
      <c r="L55" s="84">
        <v>1368.0</v>
      </c>
      <c r="M55" s="71"/>
      <c r="N55" s="72"/>
      <c r="O55" s="85">
        <v>72.0</v>
      </c>
      <c r="P55" s="71"/>
      <c r="Q55" s="71"/>
      <c r="R55" s="71"/>
      <c r="S55" s="71"/>
      <c r="T55" s="72"/>
      <c r="U55" s="83"/>
      <c r="V55" s="71"/>
      <c r="W55" s="71"/>
      <c r="X55" s="71"/>
      <c r="Y55" s="71"/>
      <c r="Z55" s="72"/>
      <c r="AA55" s="86"/>
      <c r="AB55" s="71"/>
      <c r="AC55" s="71"/>
      <c r="AD55" s="71"/>
      <c r="AE55" s="71"/>
      <c r="AF55" s="72"/>
      <c r="AG55" s="83"/>
      <c r="AH55" s="71"/>
      <c r="AI55" s="71"/>
      <c r="AJ55" s="71"/>
      <c r="AK55" s="71"/>
      <c r="AL55" s="72"/>
      <c r="AM55" s="85">
        <v>1.0</v>
      </c>
      <c r="AN55" s="71"/>
      <c r="AO55" s="72"/>
      <c r="AP55" s="82">
        <v>10.0</v>
      </c>
      <c r="AQ55" s="71"/>
      <c r="AR55" s="72"/>
      <c r="AS55" s="85">
        <v>52.0</v>
      </c>
      <c r="AT55" s="71"/>
      <c r="AU55" s="71"/>
      <c r="AV55" s="71"/>
      <c r="AW55" s="71"/>
      <c r="AX55" s="72"/>
      <c r="AY55" s="1"/>
      <c r="AZ55" s="1"/>
      <c r="BA55" s="1"/>
      <c r="BB55" s="1"/>
      <c r="BC55" s="1"/>
    </row>
    <row r="56" ht="21.75" customHeight="1">
      <c r="A56" s="81" t="s">
        <v>36</v>
      </c>
      <c r="B56" s="71"/>
      <c r="C56" s="72"/>
      <c r="D56" s="85">
        <v>23.0</v>
      </c>
      <c r="E56" s="71"/>
      <c r="F56" s="71"/>
      <c r="G56" s="72"/>
      <c r="H56" s="87">
        <f t="shared" si="1"/>
        <v>43</v>
      </c>
      <c r="I56" s="71"/>
      <c r="J56" s="71"/>
      <c r="K56" s="72"/>
      <c r="L56" s="87">
        <f>'Структура рабочего учебного пла'!Q57+'Структура рабочего учебного пла'!R57+'Структура рабочего учебного пла'!G66+'Структура рабочего учебного пла'!G77+'Структура рабочего учебного пла'!R90</f>
        <v>1032</v>
      </c>
      <c r="M56" s="71"/>
      <c r="N56" s="72"/>
      <c r="O56" s="82">
        <f>'Структура рабочего учебного пла'!Q131+'Структура рабочего учебного пла'!R131</f>
        <v>24</v>
      </c>
      <c r="P56" s="71"/>
      <c r="Q56" s="71"/>
      <c r="R56" s="71"/>
      <c r="S56" s="71"/>
      <c r="T56" s="72"/>
      <c r="U56" s="83">
        <f>'Структура рабочего учебного пла'!G67+'Структура рабочего учебного пла'!G78</f>
        <v>384</v>
      </c>
      <c r="V56" s="71"/>
      <c r="W56" s="71"/>
      <c r="X56" s="71"/>
      <c r="Y56" s="71"/>
      <c r="Z56" s="72"/>
      <c r="AA56" s="86"/>
      <c r="AB56" s="71"/>
      <c r="AC56" s="71"/>
      <c r="AD56" s="71"/>
      <c r="AE56" s="71"/>
      <c r="AF56" s="72"/>
      <c r="AG56" s="83"/>
      <c r="AH56" s="71"/>
      <c r="AI56" s="71"/>
      <c r="AJ56" s="71"/>
      <c r="AK56" s="71"/>
      <c r="AL56" s="72"/>
      <c r="AM56" s="85">
        <v>1.0</v>
      </c>
      <c r="AN56" s="71"/>
      <c r="AO56" s="72"/>
      <c r="AP56" s="82">
        <v>10.0</v>
      </c>
      <c r="AQ56" s="71"/>
      <c r="AR56" s="72"/>
      <c r="AS56" s="85">
        <v>52.0</v>
      </c>
      <c r="AT56" s="71"/>
      <c r="AU56" s="71"/>
      <c r="AV56" s="71"/>
      <c r="AW56" s="71"/>
      <c r="AX56" s="72"/>
      <c r="AY56" s="1"/>
      <c r="AZ56" s="1"/>
      <c r="BA56" s="1"/>
      <c r="BB56" s="1"/>
      <c r="BC56" s="1"/>
    </row>
    <row r="57" ht="21.0" customHeight="1">
      <c r="A57" s="81" t="s">
        <v>38</v>
      </c>
      <c r="B57" s="71"/>
      <c r="C57" s="72"/>
      <c r="D57" s="85">
        <v>19.0</v>
      </c>
      <c r="E57" s="71"/>
      <c r="F57" s="71"/>
      <c r="G57" s="72"/>
      <c r="H57" s="88">
        <f t="shared" si="1"/>
        <v>34.5</v>
      </c>
      <c r="I57" s="71"/>
      <c r="J57" s="71"/>
      <c r="K57" s="72"/>
      <c r="L57" s="83">
        <f>'Структура рабочего учебного пла'!S84+'Структура рабочего учебного пла'!S85+'Структура рабочего учебного пла'!S86+'Структура рабочего учебного пла'!S87+'Структура рабочего учебного пла'!G97+'Структура рабочего учебного пла'!G107+'Структура рабочего учебного пла'!T118</f>
        <v>828</v>
      </c>
      <c r="M57" s="71"/>
      <c r="N57" s="72"/>
      <c r="O57" s="89">
        <f>'Структура рабочего учебного пла'!S131+'Структура рабочего учебного пла'!T131</f>
        <v>36</v>
      </c>
      <c r="P57" s="71"/>
      <c r="Q57" s="71"/>
      <c r="R57" s="71"/>
      <c r="S57" s="71"/>
      <c r="T57" s="72"/>
      <c r="U57" s="83">
        <f>'Структура рабочего учебного пла'!S89+'Структура рабочего учебного пла'!T98+'Структура рабочего учебного пла'!T108</f>
        <v>576</v>
      </c>
      <c r="V57" s="71"/>
      <c r="W57" s="71"/>
      <c r="X57" s="71"/>
      <c r="Y57" s="71"/>
      <c r="Z57" s="72"/>
      <c r="AA57" s="86"/>
      <c r="AB57" s="71"/>
      <c r="AC57" s="71"/>
      <c r="AD57" s="71"/>
      <c r="AE57" s="71"/>
      <c r="AF57" s="72"/>
      <c r="AG57" s="83"/>
      <c r="AH57" s="71"/>
      <c r="AI57" s="71"/>
      <c r="AJ57" s="71"/>
      <c r="AK57" s="71"/>
      <c r="AL57" s="72"/>
      <c r="AM57" s="85">
        <v>1.0</v>
      </c>
      <c r="AN57" s="71"/>
      <c r="AO57" s="72"/>
      <c r="AP57" s="82">
        <v>10.0</v>
      </c>
      <c r="AQ57" s="71"/>
      <c r="AR57" s="72"/>
      <c r="AS57" s="85">
        <v>52.0</v>
      </c>
      <c r="AT57" s="71"/>
      <c r="AU57" s="71"/>
      <c r="AV57" s="71"/>
      <c r="AW57" s="71"/>
      <c r="AX57" s="72"/>
      <c r="AY57" s="1"/>
      <c r="AZ57" s="1"/>
      <c r="BA57" s="1"/>
      <c r="BB57" s="1"/>
      <c r="BC57" s="1"/>
    </row>
    <row r="58" ht="21.0" customHeight="1">
      <c r="A58" s="81" t="s">
        <v>39</v>
      </c>
      <c r="B58" s="71"/>
      <c r="C58" s="72"/>
      <c r="D58" s="90">
        <v>8.0</v>
      </c>
      <c r="E58" s="71"/>
      <c r="F58" s="71"/>
      <c r="G58" s="72"/>
      <c r="H58" s="88">
        <f t="shared" si="1"/>
        <v>21.08333333</v>
      </c>
      <c r="I58" s="71"/>
      <c r="J58" s="71"/>
      <c r="K58" s="72"/>
      <c r="L58" s="84">
        <f>'Структура рабочего учебного пла'!U116+'Структура рабочего учебного пла'!U125+'Структура рабочего учебного пла'!V125</f>
        <v>506</v>
      </c>
      <c r="M58" s="71"/>
      <c r="N58" s="72"/>
      <c r="O58" s="82">
        <f>'Структура рабочего учебного пла'!U131+'Структура рабочего учебного пла'!V131</f>
        <v>24</v>
      </c>
      <c r="P58" s="71"/>
      <c r="Q58" s="71"/>
      <c r="R58" s="71"/>
      <c r="S58" s="71"/>
      <c r="T58" s="72"/>
      <c r="U58" s="83">
        <f>'Структура рабочего учебного пла'!U117+'Структура рабочего учебного пла'!V126+'Структура рабочего учебного пла'!V129</f>
        <v>826</v>
      </c>
      <c r="V58" s="71"/>
      <c r="W58" s="71"/>
      <c r="X58" s="71"/>
      <c r="Y58" s="71"/>
      <c r="Z58" s="72"/>
      <c r="AA58" s="91">
        <v>48.0</v>
      </c>
      <c r="AB58" s="71"/>
      <c r="AC58" s="71"/>
      <c r="AD58" s="71"/>
      <c r="AE58" s="71"/>
      <c r="AF58" s="72"/>
      <c r="AG58" s="84">
        <f>'Структура рабочего учебного пла'!G132</f>
        <v>36</v>
      </c>
      <c r="AH58" s="71"/>
      <c r="AI58" s="71"/>
      <c r="AJ58" s="71"/>
      <c r="AK58" s="71"/>
      <c r="AL58" s="72"/>
      <c r="AM58" s="85">
        <v>1.0</v>
      </c>
      <c r="AN58" s="71"/>
      <c r="AO58" s="72"/>
      <c r="AP58" s="85">
        <v>2.0</v>
      </c>
      <c r="AQ58" s="71"/>
      <c r="AR58" s="72"/>
      <c r="AS58" s="85">
        <v>43.0</v>
      </c>
      <c r="AT58" s="71"/>
      <c r="AU58" s="71"/>
      <c r="AV58" s="71"/>
      <c r="AW58" s="71"/>
      <c r="AX58" s="72"/>
      <c r="AY58" s="1"/>
      <c r="AZ58" s="1"/>
      <c r="BA58" s="1"/>
      <c r="BB58" s="1"/>
      <c r="BC58" s="1"/>
    </row>
    <row r="59" ht="24.0" customHeight="1">
      <c r="A59" s="92" t="s">
        <v>64</v>
      </c>
      <c r="B59" s="71"/>
      <c r="C59" s="72"/>
      <c r="D59" s="92">
        <f>SUM(D55:E58)</f>
        <v>89</v>
      </c>
      <c r="E59" s="71"/>
      <c r="F59" s="71"/>
      <c r="G59" s="72"/>
      <c r="H59" s="93">
        <f>SUM(H55:K58)</f>
        <v>155.5833333</v>
      </c>
      <c r="I59" s="71"/>
      <c r="J59" s="71"/>
      <c r="K59" s="72"/>
      <c r="L59" s="92">
        <f>SUM(L55:N58)</f>
        <v>3734</v>
      </c>
      <c r="M59" s="71"/>
      <c r="N59" s="72"/>
      <c r="O59" s="92">
        <f>SUM(O55:T58)</f>
        <v>156</v>
      </c>
      <c r="P59" s="71"/>
      <c r="Q59" s="71"/>
      <c r="R59" s="71"/>
      <c r="S59" s="71"/>
      <c r="T59" s="72"/>
      <c r="U59" s="92">
        <f>SUM(U55:Z58)</f>
        <v>1786</v>
      </c>
      <c r="V59" s="71"/>
      <c r="W59" s="71"/>
      <c r="X59" s="71"/>
      <c r="Y59" s="71"/>
      <c r="Z59" s="72"/>
      <c r="AA59" s="92">
        <f>SUM(AA55:AF58)</f>
        <v>48</v>
      </c>
      <c r="AB59" s="71"/>
      <c r="AC59" s="71"/>
      <c r="AD59" s="71"/>
      <c r="AE59" s="71"/>
      <c r="AF59" s="72"/>
      <c r="AG59" s="92">
        <f>SUM(AG55:AL58)</f>
        <v>36</v>
      </c>
      <c r="AH59" s="71"/>
      <c r="AI59" s="71"/>
      <c r="AJ59" s="71"/>
      <c r="AK59" s="71"/>
      <c r="AL59" s="72"/>
      <c r="AM59" s="92">
        <f>SUM(AM55:AO58)</f>
        <v>4</v>
      </c>
      <c r="AN59" s="71"/>
      <c r="AO59" s="72"/>
      <c r="AP59" s="92">
        <f>SUM(AP55:AR58)</f>
        <v>32</v>
      </c>
      <c r="AQ59" s="71"/>
      <c r="AR59" s="72"/>
      <c r="AS59" s="92">
        <f>SUM(AS55:AX58)</f>
        <v>199</v>
      </c>
      <c r="AT59" s="71"/>
      <c r="AU59" s="71"/>
      <c r="AV59" s="71"/>
      <c r="AW59" s="71"/>
      <c r="AX59" s="72"/>
      <c r="AY59" s="1"/>
      <c r="AZ59" s="1"/>
      <c r="BA59" s="1"/>
      <c r="BB59" s="1"/>
      <c r="BC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1">
    <mergeCell ref="AG56:AL56"/>
    <mergeCell ref="AM56:AO56"/>
    <mergeCell ref="AP56:AR56"/>
    <mergeCell ref="AS56:AX56"/>
    <mergeCell ref="A56:C56"/>
    <mergeCell ref="D56:G56"/>
    <mergeCell ref="H56:K56"/>
    <mergeCell ref="L56:N56"/>
    <mergeCell ref="O56:T56"/>
    <mergeCell ref="U56:Z56"/>
    <mergeCell ref="AA56:AF56"/>
    <mergeCell ref="AG57:AL57"/>
    <mergeCell ref="AM57:AO57"/>
    <mergeCell ref="AP57:AR57"/>
    <mergeCell ref="AS57:AX57"/>
    <mergeCell ref="A57:C57"/>
    <mergeCell ref="D57:G57"/>
    <mergeCell ref="H57:K57"/>
    <mergeCell ref="L57:N57"/>
    <mergeCell ref="O57:T57"/>
    <mergeCell ref="U57:Z57"/>
    <mergeCell ref="AA57:AF57"/>
    <mergeCell ref="AG58:AL58"/>
    <mergeCell ref="AM58:AO58"/>
    <mergeCell ref="AP58:AR58"/>
    <mergeCell ref="AS58:AX58"/>
    <mergeCell ref="A58:C58"/>
    <mergeCell ref="D58:G58"/>
    <mergeCell ref="H58:K58"/>
    <mergeCell ref="L58:N58"/>
    <mergeCell ref="O58:T58"/>
    <mergeCell ref="U58:Z58"/>
    <mergeCell ref="AA58:AF58"/>
    <mergeCell ref="AG59:AL59"/>
    <mergeCell ref="AM59:AO59"/>
    <mergeCell ref="AP59:AR59"/>
    <mergeCell ref="AS59:AX59"/>
    <mergeCell ref="A59:C59"/>
    <mergeCell ref="D59:G59"/>
    <mergeCell ref="H59:K59"/>
    <mergeCell ref="L59:N59"/>
    <mergeCell ref="O59:T59"/>
    <mergeCell ref="U59:Z59"/>
    <mergeCell ref="AA59:AF59"/>
    <mergeCell ref="AK30:AN30"/>
    <mergeCell ref="AO30:AR30"/>
    <mergeCell ref="AT30:AV30"/>
    <mergeCell ref="AX30:BA30"/>
    <mergeCell ref="B1:BA1"/>
    <mergeCell ref="B30:E30"/>
    <mergeCell ref="G30:I30"/>
    <mergeCell ref="K30:N30"/>
    <mergeCell ref="O30:R30"/>
    <mergeCell ref="T30:W30"/>
    <mergeCell ref="X30:AA30"/>
    <mergeCell ref="AA52:AF54"/>
    <mergeCell ref="AG52:AL54"/>
    <mergeCell ref="AM52:AO54"/>
    <mergeCell ref="AP52:AR54"/>
    <mergeCell ref="AS52:AX54"/>
    <mergeCell ref="AB30:AE30"/>
    <mergeCell ref="AG30:AI30"/>
    <mergeCell ref="A31:A32"/>
    <mergeCell ref="A52:C54"/>
    <mergeCell ref="D52:N52"/>
    <mergeCell ref="O52:T54"/>
    <mergeCell ref="U52:Z54"/>
    <mergeCell ref="L53:N54"/>
    <mergeCell ref="U55:Z55"/>
    <mergeCell ref="AA55:AF55"/>
    <mergeCell ref="AG55:AL55"/>
    <mergeCell ref="AM55:AO55"/>
    <mergeCell ref="AP55:AR55"/>
    <mergeCell ref="AS55:AX55"/>
    <mergeCell ref="D53:G54"/>
    <mergeCell ref="H53:K54"/>
    <mergeCell ref="A55:C55"/>
    <mergeCell ref="D55:G55"/>
    <mergeCell ref="H55:K55"/>
    <mergeCell ref="L55:N55"/>
    <mergeCell ref="O55:T55"/>
  </mergeCells>
  <printOptions/>
  <pageMargins bottom="0.15748031496062992" footer="0.0" header="0.0" left="0.39370078740157477" right="0.39370078740157477" top="0.39370078740157477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86"/>
    <col customWidth="1" min="2" max="2" width="62.0"/>
    <col customWidth="1" min="3" max="3" width="5.86"/>
    <col customWidth="1" min="4" max="4" width="5.71"/>
    <col customWidth="1" min="5" max="5" width="5.86"/>
    <col customWidth="1" min="6" max="6" width="6.0"/>
    <col customWidth="1" min="7" max="7" width="6.71"/>
    <col customWidth="1" min="8" max="8" width="5.57"/>
    <col customWidth="1" min="9" max="9" width="6.57"/>
    <col customWidth="1" min="10" max="10" width="6.71"/>
    <col customWidth="1" min="11" max="11" width="7.29"/>
    <col customWidth="1" min="12" max="12" width="5.29"/>
    <col customWidth="1" min="13" max="13" width="10.0"/>
    <col customWidth="1" min="14" max="14" width="4.0"/>
    <col customWidth="1" min="15" max="22" width="5.0"/>
    <col customWidth="1" min="23" max="23" width="5.57"/>
    <col customWidth="1" min="24" max="30" width="5.0"/>
    <col customWidth="1" min="31" max="31" width="8.14"/>
  </cols>
  <sheetData>
    <row r="1">
      <c r="A1" s="94"/>
      <c r="B1" s="94"/>
      <c r="C1" s="94" t="s">
        <v>65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4"/>
      <c r="V1" s="94"/>
      <c r="W1" s="96"/>
      <c r="X1" s="96"/>
      <c r="Y1" s="96"/>
      <c r="Z1" s="96"/>
      <c r="AA1" s="96"/>
      <c r="AB1" s="96"/>
      <c r="AC1" s="96"/>
      <c r="AD1" s="96"/>
      <c r="AE1" s="96"/>
    </row>
    <row r="2" ht="39.0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99"/>
      <c r="L2" s="100"/>
      <c r="M2" s="101" t="s">
        <v>66</v>
      </c>
      <c r="N2" s="72"/>
      <c r="O2" s="102" t="s">
        <v>67</v>
      </c>
      <c r="P2" s="71"/>
      <c r="Q2" s="71"/>
      <c r="R2" s="71"/>
      <c r="S2" s="71"/>
      <c r="T2" s="71"/>
      <c r="U2" s="71"/>
      <c r="V2" s="72"/>
      <c r="W2" s="103"/>
      <c r="X2" s="104"/>
      <c r="Y2" s="104"/>
      <c r="Z2" s="104"/>
      <c r="AA2" s="104"/>
      <c r="AB2" s="104"/>
      <c r="AC2" s="104"/>
      <c r="AD2" s="104"/>
      <c r="AE2" s="104"/>
    </row>
    <row r="3">
      <c r="A3" s="105" t="s">
        <v>68</v>
      </c>
      <c r="B3" s="106" t="s">
        <v>69</v>
      </c>
      <c r="C3" s="107" t="s">
        <v>70</v>
      </c>
      <c r="D3" s="108"/>
      <c r="E3" s="109"/>
      <c r="F3" s="102" t="s">
        <v>66</v>
      </c>
      <c r="G3" s="71"/>
      <c r="H3" s="71"/>
      <c r="I3" s="71"/>
      <c r="J3" s="71"/>
      <c r="K3" s="72"/>
      <c r="L3" s="105" t="s">
        <v>71</v>
      </c>
      <c r="M3" s="102" t="s">
        <v>72</v>
      </c>
      <c r="N3" s="72"/>
      <c r="O3" s="110" t="s">
        <v>73</v>
      </c>
      <c r="P3" s="72"/>
      <c r="Q3" s="110" t="s">
        <v>74</v>
      </c>
      <c r="R3" s="72"/>
      <c r="S3" s="110" t="s">
        <v>75</v>
      </c>
      <c r="T3" s="72"/>
      <c r="U3" s="110" t="s">
        <v>76</v>
      </c>
      <c r="V3" s="72"/>
      <c r="W3" s="103"/>
      <c r="X3" s="104"/>
      <c r="Y3" s="104"/>
      <c r="Z3" s="104"/>
      <c r="AA3" s="104"/>
      <c r="AB3" s="104"/>
      <c r="AC3" s="104"/>
      <c r="AD3" s="104"/>
      <c r="AE3" s="104"/>
    </row>
    <row r="4">
      <c r="A4" s="111"/>
      <c r="B4" s="111"/>
      <c r="C4" s="112" t="s">
        <v>77</v>
      </c>
      <c r="D4" s="112" t="s">
        <v>78</v>
      </c>
      <c r="E4" s="112" t="s">
        <v>79</v>
      </c>
      <c r="F4" s="112" t="s">
        <v>80</v>
      </c>
      <c r="G4" s="112" t="s">
        <v>81</v>
      </c>
      <c r="H4" s="102" t="s">
        <v>72</v>
      </c>
      <c r="I4" s="71"/>
      <c r="J4" s="71"/>
      <c r="K4" s="72"/>
      <c r="L4" s="111"/>
      <c r="M4" s="112" t="s">
        <v>82</v>
      </c>
      <c r="N4" s="112" t="s">
        <v>83</v>
      </c>
      <c r="O4" s="102" t="s">
        <v>84</v>
      </c>
      <c r="P4" s="71"/>
      <c r="Q4" s="71"/>
      <c r="R4" s="71"/>
      <c r="S4" s="71"/>
      <c r="T4" s="71"/>
      <c r="U4" s="71"/>
      <c r="V4" s="72"/>
      <c r="W4" s="113" t="s">
        <v>85</v>
      </c>
      <c r="X4" s="114"/>
      <c r="Y4" s="114"/>
      <c r="Z4" s="114"/>
      <c r="AA4" s="114"/>
      <c r="AB4" s="114"/>
      <c r="AC4" s="114"/>
      <c r="AD4" s="114"/>
      <c r="AE4" s="115"/>
    </row>
    <row r="5" ht="68.25" customHeight="1">
      <c r="A5" s="111"/>
      <c r="B5" s="111"/>
      <c r="C5" s="111"/>
      <c r="D5" s="111"/>
      <c r="E5" s="111"/>
      <c r="F5" s="111"/>
      <c r="G5" s="111"/>
      <c r="H5" s="112" t="s">
        <v>86</v>
      </c>
      <c r="I5" s="112" t="s">
        <v>87</v>
      </c>
      <c r="J5" s="112" t="s">
        <v>88</v>
      </c>
      <c r="K5" s="116" t="s">
        <v>89</v>
      </c>
      <c r="L5" s="111"/>
      <c r="M5" s="111"/>
      <c r="N5" s="111"/>
      <c r="O5" s="117" t="s">
        <v>90</v>
      </c>
      <c r="P5" s="117" t="s">
        <v>91</v>
      </c>
      <c r="Q5" s="117" t="s">
        <v>92</v>
      </c>
      <c r="R5" s="117" t="s">
        <v>93</v>
      </c>
      <c r="S5" s="117" t="s">
        <v>94</v>
      </c>
      <c r="T5" s="118" t="s">
        <v>95</v>
      </c>
      <c r="U5" s="117" t="s">
        <v>96</v>
      </c>
      <c r="V5" s="117" t="s">
        <v>97</v>
      </c>
      <c r="W5" s="119" t="s">
        <v>90</v>
      </c>
      <c r="X5" s="119" t="s">
        <v>91</v>
      </c>
      <c r="Y5" s="119" t="s">
        <v>92</v>
      </c>
      <c r="Z5" s="119" t="s">
        <v>93</v>
      </c>
      <c r="AA5" s="119" t="s">
        <v>94</v>
      </c>
      <c r="AB5" s="120" t="s">
        <v>95</v>
      </c>
      <c r="AC5" s="119" t="s">
        <v>96</v>
      </c>
      <c r="AD5" s="119" t="s">
        <v>97</v>
      </c>
      <c r="AE5" s="121"/>
    </row>
    <row r="6" ht="22.5" customHeight="1">
      <c r="A6" s="122"/>
      <c r="B6" s="122"/>
      <c r="C6" s="122"/>
      <c r="D6" s="122"/>
      <c r="E6" s="122"/>
      <c r="F6" s="122"/>
      <c r="G6" s="122"/>
      <c r="H6" s="122"/>
      <c r="I6" s="122"/>
      <c r="J6" s="122"/>
      <c r="L6" s="122"/>
      <c r="M6" s="122"/>
      <c r="N6" s="122"/>
      <c r="O6" s="117">
        <v>17.0</v>
      </c>
      <c r="P6" s="117">
        <v>24.0</v>
      </c>
      <c r="Q6" s="117">
        <v>17.0</v>
      </c>
      <c r="R6" s="117">
        <v>24.0</v>
      </c>
      <c r="S6" s="117">
        <v>17.0</v>
      </c>
      <c r="T6" s="118">
        <v>24.0</v>
      </c>
      <c r="U6" s="117">
        <v>17.0</v>
      </c>
      <c r="V6" s="117">
        <v>24.0</v>
      </c>
      <c r="W6" s="123">
        <v>17.0</v>
      </c>
      <c r="X6" s="123">
        <v>24.0</v>
      </c>
      <c r="Y6" s="123">
        <v>17.0</v>
      </c>
      <c r="Z6" s="123">
        <v>24.0</v>
      </c>
      <c r="AA6" s="123">
        <v>17.0</v>
      </c>
      <c r="AB6" s="124">
        <v>24.0</v>
      </c>
      <c r="AC6" s="123">
        <v>17.0</v>
      </c>
      <c r="AD6" s="123">
        <v>24.0</v>
      </c>
      <c r="AE6" s="121"/>
    </row>
    <row r="7">
      <c r="A7" s="117">
        <v>1.0</v>
      </c>
      <c r="B7" s="117">
        <v>2.0</v>
      </c>
      <c r="C7" s="117">
        <v>3.0</v>
      </c>
      <c r="D7" s="117">
        <v>4.0</v>
      </c>
      <c r="E7" s="117">
        <v>5.0</v>
      </c>
      <c r="F7" s="117">
        <v>6.0</v>
      </c>
      <c r="G7" s="117">
        <v>7.0</v>
      </c>
      <c r="H7" s="117">
        <v>8.0</v>
      </c>
      <c r="I7" s="117">
        <v>9.0</v>
      </c>
      <c r="J7" s="117">
        <v>10.0</v>
      </c>
      <c r="K7" s="117">
        <v>11.0</v>
      </c>
      <c r="L7" s="117">
        <v>12.0</v>
      </c>
      <c r="M7" s="117">
        <v>13.0</v>
      </c>
      <c r="N7" s="117">
        <v>14.0</v>
      </c>
      <c r="O7" s="117">
        <v>15.0</v>
      </c>
      <c r="P7" s="117">
        <v>16.0</v>
      </c>
      <c r="Q7" s="117">
        <v>17.0</v>
      </c>
      <c r="R7" s="117">
        <v>18.0</v>
      </c>
      <c r="S7" s="117">
        <v>19.0</v>
      </c>
      <c r="T7" s="118">
        <v>20.0</v>
      </c>
      <c r="U7" s="117">
        <v>21.0</v>
      </c>
      <c r="V7" s="117">
        <v>22.0</v>
      </c>
      <c r="W7" s="125">
        <f>600-O133</f>
        <v>0</v>
      </c>
      <c r="X7" s="125">
        <f>840-P133</f>
        <v>0</v>
      </c>
      <c r="Y7" s="125">
        <f>600-Q133</f>
        <v>0</v>
      </c>
      <c r="Z7" s="125">
        <f>840-R133</f>
        <v>0</v>
      </c>
      <c r="AA7" s="126">
        <f>600-S133</f>
        <v>0</v>
      </c>
      <c r="AB7" s="125">
        <f>840-T133</f>
        <v>0</v>
      </c>
      <c r="AC7" s="125">
        <f>600-U133</f>
        <v>0</v>
      </c>
      <c r="AD7" s="125">
        <f>840-V133</f>
        <v>0</v>
      </c>
      <c r="AE7" s="127">
        <f>SUM(W7:AD7)</f>
        <v>0</v>
      </c>
    </row>
    <row r="8">
      <c r="A8" s="128" t="s">
        <v>98</v>
      </c>
      <c r="B8" s="129" t="s">
        <v>99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03"/>
      <c r="X8" s="104"/>
      <c r="Y8" s="104"/>
      <c r="Z8" s="104"/>
      <c r="AA8" s="104"/>
      <c r="AB8" s="104"/>
      <c r="AC8" s="104"/>
      <c r="AD8" s="104"/>
      <c r="AE8" s="104"/>
    </row>
    <row r="9">
      <c r="A9" s="132" t="s">
        <v>100</v>
      </c>
      <c r="B9" s="133" t="s">
        <v>101</v>
      </c>
      <c r="C9" s="124">
        <v>2.0</v>
      </c>
      <c r="D9" s="124">
        <v>1.0</v>
      </c>
      <c r="E9" s="124">
        <v>2.0</v>
      </c>
      <c r="F9" s="134">
        <f t="shared" ref="F9:F25" si="1">G9/24</f>
        <v>4</v>
      </c>
      <c r="G9" s="135">
        <f t="shared" ref="G9:G25" si="2">SUM(O9:T9)</f>
        <v>96</v>
      </c>
      <c r="H9" s="136">
        <v>36.0</v>
      </c>
      <c r="I9" s="124">
        <v>48.0</v>
      </c>
      <c r="J9" s="131"/>
      <c r="K9" s="137">
        <v>12.0</v>
      </c>
      <c r="L9" s="124">
        <v>24.0</v>
      </c>
      <c r="M9" s="131"/>
      <c r="N9" s="131"/>
      <c r="O9" s="137">
        <v>40.0</v>
      </c>
      <c r="P9" s="137">
        <v>56.0</v>
      </c>
      <c r="Q9" s="138"/>
      <c r="R9" s="138"/>
      <c r="S9" s="138"/>
      <c r="T9" s="138"/>
      <c r="U9" s="138"/>
      <c r="V9" s="138"/>
      <c r="W9" s="103"/>
      <c r="X9" s="104"/>
      <c r="Y9" s="104"/>
      <c r="Z9" s="104"/>
      <c r="AA9" s="104"/>
      <c r="AB9" s="104"/>
      <c r="AC9" s="104"/>
      <c r="AD9" s="104"/>
      <c r="AE9" s="104"/>
    </row>
    <row r="10">
      <c r="A10" s="132" t="s">
        <v>102</v>
      </c>
      <c r="B10" s="133" t="s">
        <v>103</v>
      </c>
      <c r="C10" s="124">
        <v>2.0</v>
      </c>
      <c r="D10" s="136">
        <v>1.0</v>
      </c>
      <c r="E10" s="124">
        <v>2.0</v>
      </c>
      <c r="F10" s="134">
        <f t="shared" si="1"/>
        <v>4</v>
      </c>
      <c r="G10" s="135">
        <f t="shared" si="2"/>
        <v>96</v>
      </c>
      <c r="H10" s="124">
        <v>36.0</v>
      </c>
      <c r="I10" s="124">
        <v>48.0</v>
      </c>
      <c r="J10" s="131"/>
      <c r="K10" s="137">
        <v>12.0</v>
      </c>
      <c r="L10" s="124">
        <v>24.0</v>
      </c>
      <c r="M10" s="131"/>
      <c r="N10" s="131"/>
      <c r="O10" s="137">
        <v>40.0</v>
      </c>
      <c r="P10" s="137">
        <v>56.0</v>
      </c>
      <c r="Q10" s="138"/>
      <c r="R10" s="138"/>
      <c r="S10" s="138"/>
      <c r="T10" s="138"/>
      <c r="U10" s="138"/>
      <c r="V10" s="138"/>
      <c r="W10" s="103"/>
      <c r="X10" s="104"/>
      <c r="Y10" s="104"/>
      <c r="Z10" s="104"/>
      <c r="AA10" s="104"/>
      <c r="AB10" s="104"/>
      <c r="AC10" s="104"/>
      <c r="AD10" s="104"/>
      <c r="AE10" s="104"/>
    </row>
    <row r="11">
      <c r="A11" s="132" t="s">
        <v>104</v>
      </c>
      <c r="B11" s="133" t="s">
        <v>105</v>
      </c>
      <c r="C11" s="131"/>
      <c r="D11" s="124">
        <v>1.2</v>
      </c>
      <c r="E11" s="124">
        <v>2.0</v>
      </c>
      <c r="F11" s="134">
        <f t="shared" si="1"/>
        <v>4</v>
      </c>
      <c r="G11" s="135">
        <f t="shared" si="2"/>
        <v>96</v>
      </c>
      <c r="H11" s="124">
        <v>36.0</v>
      </c>
      <c r="I11" s="124">
        <v>48.0</v>
      </c>
      <c r="J11" s="131"/>
      <c r="K11" s="137">
        <v>12.0</v>
      </c>
      <c r="L11" s="124">
        <v>24.0</v>
      </c>
      <c r="M11" s="131"/>
      <c r="N11" s="131"/>
      <c r="O11" s="137">
        <v>40.0</v>
      </c>
      <c r="P11" s="137">
        <v>56.0</v>
      </c>
      <c r="Q11" s="138"/>
      <c r="R11" s="138"/>
      <c r="S11" s="138"/>
      <c r="T11" s="138"/>
      <c r="U11" s="138"/>
      <c r="V11" s="138"/>
      <c r="W11" s="103"/>
      <c r="X11" s="104"/>
      <c r="Y11" s="104"/>
      <c r="Z11" s="104"/>
      <c r="AA11" s="104"/>
      <c r="AB11" s="104"/>
      <c r="AC11" s="104"/>
      <c r="AD11" s="104"/>
      <c r="AE11" s="104"/>
    </row>
    <row r="12">
      <c r="A12" s="132" t="s">
        <v>106</v>
      </c>
      <c r="B12" s="133" t="s">
        <v>107</v>
      </c>
      <c r="C12" s="131"/>
      <c r="D12" s="124">
        <v>1.2</v>
      </c>
      <c r="E12" s="124">
        <v>2.0</v>
      </c>
      <c r="F12" s="134">
        <f t="shared" si="1"/>
        <v>4</v>
      </c>
      <c r="G12" s="135">
        <f t="shared" si="2"/>
        <v>96</v>
      </c>
      <c r="H12" s="136">
        <v>36.0</v>
      </c>
      <c r="I12" s="124">
        <v>48.0</v>
      </c>
      <c r="J12" s="131"/>
      <c r="K12" s="137">
        <v>12.0</v>
      </c>
      <c r="L12" s="124">
        <v>24.0</v>
      </c>
      <c r="M12" s="131"/>
      <c r="N12" s="131"/>
      <c r="O12" s="137">
        <v>40.0</v>
      </c>
      <c r="P12" s="137">
        <v>56.0</v>
      </c>
      <c r="Q12" s="138"/>
      <c r="R12" s="138"/>
      <c r="S12" s="138"/>
      <c r="T12" s="138"/>
      <c r="U12" s="138"/>
      <c r="V12" s="138"/>
      <c r="W12" s="103"/>
      <c r="X12" s="104"/>
      <c r="Y12" s="104"/>
      <c r="Z12" s="104"/>
      <c r="AA12" s="104"/>
      <c r="AB12" s="104"/>
      <c r="AC12" s="104"/>
      <c r="AD12" s="104"/>
      <c r="AE12" s="104"/>
    </row>
    <row r="13">
      <c r="A13" s="132" t="s">
        <v>108</v>
      </c>
      <c r="B13" s="133" t="s">
        <v>109</v>
      </c>
      <c r="C13" s="124">
        <v>2.0</v>
      </c>
      <c r="D13" s="131"/>
      <c r="E13" s="124">
        <v>1.0</v>
      </c>
      <c r="F13" s="134">
        <f t="shared" si="1"/>
        <v>3</v>
      </c>
      <c r="G13" s="135">
        <f t="shared" si="2"/>
        <v>72</v>
      </c>
      <c r="H13" s="124">
        <v>24.0</v>
      </c>
      <c r="I13" s="124">
        <v>36.0</v>
      </c>
      <c r="J13" s="131"/>
      <c r="K13" s="137">
        <v>12.0</v>
      </c>
      <c r="L13" s="124">
        <v>24.0</v>
      </c>
      <c r="M13" s="131"/>
      <c r="N13" s="131"/>
      <c r="O13" s="139"/>
      <c r="P13" s="137">
        <v>72.0</v>
      </c>
      <c r="Q13" s="138"/>
      <c r="R13" s="138"/>
      <c r="S13" s="138"/>
      <c r="T13" s="138"/>
      <c r="U13" s="138"/>
      <c r="V13" s="138"/>
      <c r="W13" s="103"/>
      <c r="X13" s="104"/>
      <c r="Y13" s="104"/>
      <c r="Z13" s="104"/>
      <c r="AA13" s="104"/>
      <c r="AB13" s="104"/>
      <c r="AC13" s="104"/>
      <c r="AD13" s="104"/>
      <c r="AE13" s="104"/>
    </row>
    <row r="14">
      <c r="A14" s="132" t="s">
        <v>110</v>
      </c>
      <c r="B14" s="133" t="s">
        <v>111</v>
      </c>
      <c r="C14" s="124">
        <v>2.0</v>
      </c>
      <c r="D14" s="124">
        <v>1.0</v>
      </c>
      <c r="E14" s="124">
        <v>2.0</v>
      </c>
      <c r="F14" s="134">
        <f t="shared" si="1"/>
        <v>5</v>
      </c>
      <c r="G14" s="135">
        <f t="shared" si="2"/>
        <v>120</v>
      </c>
      <c r="H14" s="124">
        <v>36.0</v>
      </c>
      <c r="I14" s="124">
        <v>60.0</v>
      </c>
      <c r="J14" s="131"/>
      <c r="K14" s="137">
        <v>24.0</v>
      </c>
      <c r="L14" s="124">
        <v>24.0</v>
      </c>
      <c r="M14" s="131"/>
      <c r="N14" s="131"/>
      <c r="O14" s="137">
        <v>40.0</v>
      </c>
      <c r="P14" s="137">
        <v>80.0</v>
      </c>
      <c r="Q14" s="138"/>
      <c r="R14" s="138"/>
      <c r="S14" s="138"/>
      <c r="T14" s="138"/>
      <c r="U14" s="138"/>
      <c r="V14" s="138"/>
      <c r="W14" s="103"/>
      <c r="X14" s="104"/>
      <c r="Y14" s="104"/>
      <c r="Z14" s="104"/>
      <c r="AA14" s="104"/>
      <c r="AB14" s="104"/>
      <c r="AC14" s="104"/>
      <c r="AD14" s="104"/>
      <c r="AE14" s="104"/>
    </row>
    <row r="15">
      <c r="A15" s="132" t="s">
        <v>112</v>
      </c>
      <c r="B15" s="133" t="s">
        <v>113</v>
      </c>
      <c r="C15" s="131"/>
      <c r="D15" s="124">
        <v>1.2</v>
      </c>
      <c r="E15" s="124">
        <v>2.0</v>
      </c>
      <c r="F15" s="134">
        <f t="shared" si="1"/>
        <v>3</v>
      </c>
      <c r="G15" s="135">
        <f t="shared" si="2"/>
        <v>72</v>
      </c>
      <c r="H15" s="124">
        <v>24.0</v>
      </c>
      <c r="I15" s="124">
        <v>36.0</v>
      </c>
      <c r="J15" s="131"/>
      <c r="K15" s="137">
        <v>12.0</v>
      </c>
      <c r="L15" s="124">
        <v>24.0</v>
      </c>
      <c r="M15" s="131"/>
      <c r="N15" s="131"/>
      <c r="O15" s="137">
        <v>32.0</v>
      </c>
      <c r="P15" s="137">
        <v>40.0</v>
      </c>
      <c r="Q15" s="138"/>
      <c r="R15" s="138"/>
      <c r="S15" s="138"/>
      <c r="T15" s="138"/>
      <c r="U15" s="138"/>
      <c r="V15" s="138"/>
      <c r="W15" s="103"/>
      <c r="X15" s="104"/>
      <c r="Y15" s="104"/>
      <c r="Z15" s="104"/>
      <c r="AA15" s="104"/>
      <c r="AB15" s="104"/>
      <c r="AC15" s="104"/>
      <c r="AD15" s="104"/>
      <c r="AE15" s="104"/>
    </row>
    <row r="16">
      <c r="A16" s="132" t="s">
        <v>114</v>
      </c>
      <c r="B16" s="133" t="s">
        <v>115</v>
      </c>
      <c r="C16" s="131"/>
      <c r="D16" s="124">
        <v>1.2</v>
      </c>
      <c r="E16" s="124">
        <v>2.0</v>
      </c>
      <c r="F16" s="134">
        <f t="shared" si="1"/>
        <v>4</v>
      </c>
      <c r="G16" s="135">
        <f t="shared" si="2"/>
        <v>96</v>
      </c>
      <c r="H16" s="124">
        <v>36.0</v>
      </c>
      <c r="I16" s="124">
        <v>48.0</v>
      </c>
      <c r="J16" s="131"/>
      <c r="K16" s="137">
        <v>12.0</v>
      </c>
      <c r="L16" s="124">
        <v>24.0</v>
      </c>
      <c r="M16" s="131"/>
      <c r="N16" s="131"/>
      <c r="O16" s="137">
        <v>40.0</v>
      </c>
      <c r="P16" s="137">
        <v>56.0</v>
      </c>
      <c r="Q16" s="138"/>
      <c r="R16" s="138"/>
      <c r="S16" s="138"/>
      <c r="T16" s="138"/>
      <c r="U16" s="138"/>
      <c r="V16" s="138"/>
      <c r="W16" s="103"/>
      <c r="X16" s="104"/>
      <c r="Y16" s="104"/>
      <c r="Z16" s="104"/>
      <c r="AA16" s="104"/>
      <c r="AB16" s="104"/>
      <c r="AC16" s="104"/>
      <c r="AD16" s="104"/>
      <c r="AE16" s="104"/>
    </row>
    <row r="17">
      <c r="A17" s="132" t="s">
        <v>116</v>
      </c>
      <c r="B17" s="133" t="s">
        <v>117</v>
      </c>
      <c r="C17" s="131"/>
      <c r="D17" s="124">
        <v>1.2</v>
      </c>
      <c r="E17" s="124">
        <v>2.0</v>
      </c>
      <c r="F17" s="134">
        <f t="shared" si="1"/>
        <v>5</v>
      </c>
      <c r="G17" s="135">
        <f t="shared" si="2"/>
        <v>120</v>
      </c>
      <c r="H17" s="136">
        <v>4.0</v>
      </c>
      <c r="I17" s="136">
        <v>92.0</v>
      </c>
      <c r="J17" s="131"/>
      <c r="K17" s="137">
        <v>24.0</v>
      </c>
      <c r="L17" s="124">
        <v>24.0</v>
      </c>
      <c r="M17" s="131"/>
      <c r="N17" s="131"/>
      <c r="O17" s="137">
        <v>40.0</v>
      </c>
      <c r="P17" s="137">
        <v>80.0</v>
      </c>
      <c r="Q17" s="138"/>
      <c r="R17" s="138"/>
      <c r="S17" s="138"/>
      <c r="T17" s="138"/>
      <c r="U17" s="138"/>
      <c r="V17" s="138"/>
      <c r="W17" s="103"/>
      <c r="X17" s="104"/>
      <c r="Y17" s="104"/>
      <c r="Z17" s="104"/>
      <c r="AA17" s="104"/>
      <c r="AB17" s="104"/>
      <c r="AC17" s="104"/>
      <c r="AD17" s="104"/>
      <c r="AE17" s="104"/>
    </row>
    <row r="18">
      <c r="A18" s="132" t="s">
        <v>118</v>
      </c>
      <c r="B18" s="133" t="s">
        <v>119</v>
      </c>
      <c r="C18" s="124">
        <v>2.0</v>
      </c>
      <c r="D18" s="124">
        <v>1.0</v>
      </c>
      <c r="E18" s="124">
        <v>2.0</v>
      </c>
      <c r="F18" s="134">
        <f t="shared" si="1"/>
        <v>4</v>
      </c>
      <c r="G18" s="135">
        <f t="shared" si="2"/>
        <v>96</v>
      </c>
      <c r="H18" s="124">
        <v>36.0</v>
      </c>
      <c r="I18" s="124">
        <v>48.0</v>
      </c>
      <c r="J18" s="131"/>
      <c r="K18" s="137">
        <v>12.0</v>
      </c>
      <c r="L18" s="124">
        <v>24.0</v>
      </c>
      <c r="M18" s="131"/>
      <c r="N18" s="131"/>
      <c r="O18" s="137">
        <v>40.0</v>
      </c>
      <c r="P18" s="137">
        <v>56.0</v>
      </c>
      <c r="Q18" s="138"/>
      <c r="R18" s="138"/>
      <c r="S18" s="138"/>
      <c r="T18" s="138"/>
      <c r="U18" s="138"/>
      <c r="V18" s="138"/>
      <c r="W18" s="103"/>
      <c r="X18" s="104"/>
      <c r="Y18" s="104"/>
      <c r="Z18" s="104"/>
      <c r="AA18" s="104"/>
      <c r="AB18" s="104"/>
      <c r="AC18" s="104"/>
      <c r="AD18" s="104"/>
      <c r="AE18" s="104"/>
    </row>
    <row r="19">
      <c r="A19" s="132" t="s">
        <v>120</v>
      </c>
      <c r="B19" s="133" t="s">
        <v>121</v>
      </c>
      <c r="C19" s="131"/>
      <c r="D19" s="124">
        <v>1.2</v>
      </c>
      <c r="E19" s="124">
        <v>2.0</v>
      </c>
      <c r="F19" s="134">
        <f t="shared" si="1"/>
        <v>4</v>
      </c>
      <c r="G19" s="135">
        <f t="shared" si="2"/>
        <v>96</v>
      </c>
      <c r="H19" s="124">
        <v>36.0</v>
      </c>
      <c r="I19" s="124">
        <v>48.0</v>
      </c>
      <c r="J19" s="131"/>
      <c r="K19" s="137">
        <v>12.0</v>
      </c>
      <c r="L19" s="124">
        <v>24.0</v>
      </c>
      <c r="M19" s="131"/>
      <c r="N19" s="131"/>
      <c r="O19" s="137">
        <v>40.0</v>
      </c>
      <c r="P19" s="137">
        <v>56.0</v>
      </c>
      <c r="Q19" s="138"/>
      <c r="R19" s="138"/>
      <c r="S19" s="138"/>
      <c r="T19" s="138"/>
      <c r="U19" s="138"/>
      <c r="V19" s="138"/>
      <c r="W19" s="103"/>
      <c r="X19" s="104"/>
      <c r="Y19" s="104"/>
      <c r="Z19" s="104"/>
      <c r="AA19" s="104"/>
      <c r="AB19" s="104"/>
      <c r="AC19" s="104"/>
      <c r="AD19" s="104"/>
      <c r="AE19" s="104"/>
    </row>
    <row r="20">
      <c r="A20" s="132" t="s">
        <v>122</v>
      </c>
      <c r="B20" s="133" t="s">
        <v>123</v>
      </c>
      <c r="C20" s="131"/>
      <c r="D20" s="124">
        <v>1.0</v>
      </c>
      <c r="E20" s="124">
        <v>1.0</v>
      </c>
      <c r="F20" s="134">
        <f t="shared" si="1"/>
        <v>3</v>
      </c>
      <c r="G20" s="135">
        <f t="shared" si="2"/>
        <v>72</v>
      </c>
      <c r="H20" s="124">
        <v>24.0</v>
      </c>
      <c r="I20" s="124">
        <v>36.0</v>
      </c>
      <c r="J20" s="131"/>
      <c r="K20" s="137">
        <v>12.0</v>
      </c>
      <c r="L20" s="124">
        <v>24.0</v>
      </c>
      <c r="M20" s="131"/>
      <c r="N20" s="131"/>
      <c r="O20" s="137">
        <v>72.0</v>
      </c>
      <c r="P20" s="139"/>
      <c r="Q20" s="138"/>
      <c r="R20" s="138"/>
      <c r="S20" s="138"/>
      <c r="T20" s="138"/>
      <c r="U20" s="138"/>
      <c r="V20" s="138"/>
      <c r="W20" s="103"/>
      <c r="X20" s="104"/>
      <c r="Y20" s="104"/>
      <c r="Z20" s="104"/>
      <c r="AA20" s="104"/>
      <c r="AB20" s="104"/>
      <c r="AC20" s="104"/>
      <c r="AD20" s="104"/>
      <c r="AE20" s="104"/>
    </row>
    <row r="21" ht="15.75" customHeight="1">
      <c r="A21" s="132" t="s">
        <v>124</v>
      </c>
      <c r="B21" s="133" t="s">
        <v>125</v>
      </c>
      <c r="C21" s="131"/>
      <c r="D21" s="124">
        <v>1.2</v>
      </c>
      <c r="E21" s="124">
        <v>2.0</v>
      </c>
      <c r="F21" s="134">
        <f t="shared" si="1"/>
        <v>3</v>
      </c>
      <c r="G21" s="135">
        <f t="shared" si="2"/>
        <v>72</v>
      </c>
      <c r="H21" s="124">
        <v>24.0</v>
      </c>
      <c r="I21" s="124">
        <v>36.0</v>
      </c>
      <c r="J21" s="131"/>
      <c r="K21" s="137">
        <v>12.0</v>
      </c>
      <c r="L21" s="124">
        <v>24.0</v>
      </c>
      <c r="M21" s="131"/>
      <c r="N21" s="131"/>
      <c r="O21" s="137">
        <v>32.0</v>
      </c>
      <c r="P21" s="137">
        <v>40.0</v>
      </c>
      <c r="Q21" s="138"/>
      <c r="R21" s="138"/>
      <c r="S21" s="138"/>
      <c r="T21" s="138"/>
      <c r="U21" s="138"/>
      <c r="V21" s="138"/>
      <c r="W21" s="103"/>
      <c r="X21" s="104"/>
      <c r="Y21" s="104"/>
      <c r="Z21" s="104"/>
      <c r="AA21" s="104"/>
      <c r="AB21" s="104"/>
      <c r="AC21" s="104"/>
      <c r="AD21" s="104"/>
      <c r="AE21" s="104"/>
    </row>
    <row r="22" ht="15.75" customHeight="1">
      <c r="A22" s="132" t="s">
        <v>126</v>
      </c>
      <c r="B22" s="133" t="s">
        <v>127</v>
      </c>
      <c r="C22" s="131"/>
      <c r="D22" s="124">
        <v>1.0</v>
      </c>
      <c r="E22" s="124">
        <v>1.0</v>
      </c>
      <c r="F22" s="134">
        <f t="shared" si="1"/>
        <v>3</v>
      </c>
      <c r="G22" s="135">
        <f t="shared" si="2"/>
        <v>72</v>
      </c>
      <c r="H22" s="124">
        <v>24.0</v>
      </c>
      <c r="I22" s="124">
        <v>36.0</v>
      </c>
      <c r="J22" s="131"/>
      <c r="K22" s="137">
        <v>12.0</v>
      </c>
      <c r="L22" s="124">
        <v>24.0</v>
      </c>
      <c r="M22" s="131"/>
      <c r="N22" s="131"/>
      <c r="O22" s="137">
        <v>72.0</v>
      </c>
      <c r="P22" s="139"/>
      <c r="Q22" s="138"/>
      <c r="R22" s="138"/>
      <c r="S22" s="138"/>
      <c r="T22" s="138"/>
      <c r="U22" s="138"/>
      <c r="V22" s="138"/>
      <c r="W22" s="103"/>
      <c r="X22" s="104"/>
      <c r="Y22" s="104"/>
      <c r="Z22" s="104"/>
      <c r="AA22" s="104"/>
      <c r="AB22" s="104"/>
      <c r="AC22" s="104"/>
      <c r="AD22" s="104"/>
      <c r="AE22" s="104"/>
    </row>
    <row r="23" ht="15.75" customHeight="1">
      <c r="A23" s="132" t="s">
        <v>128</v>
      </c>
      <c r="B23" s="133" t="s">
        <v>129</v>
      </c>
      <c r="C23" s="131"/>
      <c r="D23" s="124">
        <v>2.0</v>
      </c>
      <c r="E23" s="124">
        <v>1.0</v>
      </c>
      <c r="F23" s="134">
        <f t="shared" si="1"/>
        <v>1</v>
      </c>
      <c r="G23" s="135">
        <f t="shared" si="2"/>
        <v>24</v>
      </c>
      <c r="H23" s="124">
        <v>6.0</v>
      </c>
      <c r="I23" s="124">
        <v>12.0</v>
      </c>
      <c r="J23" s="131"/>
      <c r="K23" s="137">
        <v>6.0</v>
      </c>
      <c r="L23" s="124">
        <v>12.0</v>
      </c>
      <c r="M23" s="131"/>
      <c r="N23" s="131"/>
      <c r="O23" s="139"/>
      <c r="P23" s="140">
        <v>24.0</v>
      </c>
      <c r="Q23" s="138"/>
      <c r="R23" s="138"/>
      <c r="S23" s="138"/>
      <c r="T23" s="138"/>
      <c r="U23" s="138"/>
      <c r="V23" s="138"/>
      <c r="W23" s="103"/>
      <c r="X23" s="104"/>
      <c r="Y23" s="104"/>
      <c r="Z23" s="104"/>
      <c r="AA23" s="104"/>
      <c r="AB23" s="104"/>
      <c r="AC23" s="104"/>
      <c r="AD23" s="104"/>
      <c r="AE23" s="104"/>
    </row>
    <row r="24" ht="15.75" customHeight="1">
      <c r="A24" s="132" t="s">
        <v>130</v>
      </c>
      <c r="B24" s="133" t="s">
        <v>131</v>
      </c>
      <c r="C24" s="131"/>
      <c r="D24" s="124">
        <v>1.2</v>
      </c>
      <c r="E24" s="124">
        <v>2.0</v>
      </c>
      <c r="F24" s="134">
        <f t="shared" si="1"/>
        <v>3</v>
      </c>
      <c r="G24" s="135">
        <f t="shared" si="2"/>
        <v>72</v>
      </c>
      <c r="H24" s="124">
        <v>24.0</v>
      </c>
      <c r="I24" s="124">
        <v>36.0</v>
      </c>
      <c r="J24" s="131"/>
      <c r="K24" s="137">
        <v>12.0</v>
      </c>
      <c r="L24" s="124">
        <v>12.0</v>
      </c>
      <c r="M24" s="131"/>
      <c r="N24" s="131"/>
      <c r="O24" s="137">
        <v>32.0</v>
      </c>
      <c r="P24" s="137">
        <v>40.0</v>
      </c>
      <c r="Q24" s="138"/>
      <c r="R24" s="138"/>
      <c r="S24" s="138"/>
      <c r="T24" s="138"/>
      <c r="U24" s="138"/>
      <c r="V24" s="138"/>
      <c r="W24" s="103"/>
      <c r="X24" s="104"/>
      <c r="Y24" s="104"/>
      <c r="Z24" s="104"/>
      <c r="AA24" s="104"/>
      <c r="AB24" s="104"/>
      <c r="AC24" s="104"/>
      <c r="AD24" s="104"/>
      <c r="AE24" s="104"/>
    </row>
    <row r="25" ht="15.75" customHeight="1">
      <c r="A25" s="141" t="s">
        <v>132</v>
      </c>
      <c r="B25" s="129" t="s">
        <v>54</v>
      </c>
      <c r="C25" s="131"/>
      <c r="D25" s="131"/>
      <c r="E25" s="131"/>
      <c r="F25" s="134">
        <f t="shared" si="1"/>
        <v>3</v>
      </c>
      <c r="G25" s="135">
        <f t="shared" si="2"/>
        <v>72</v>
      </c>
      <c r="H25" s="131"/>
      <c r="I25" s="131"/>
      <c r="J25" s="131"/>
      <c r="K25" s="131"/>
      <c r="L25" s="131"/>
      <c r="M25" s="131"/>
      <c r="N25" s="131"/>
      <c r="O25" s="139"/>
      <c r="P25" s="137">
        <v>72.0</v>
      </c>
      <c r="Q25" s="138"/>
      <c r="R25" s="138"/>
      <c r="S25" s="138"/>
      <c r="T25" s="138"/>
      <c r="U25" s="138"/>
      <c r="V25" s="138"/>
      <c r="W25" s="103"/>
      <c r="X25" s="104"/>
      <c r="Y25" s="104"/>
      <c r="Z25" s="104"/>
      <c r="AA25" s="104"/>
      <c r="AB25" s="104"/>
      <c r="AC25" s="104"/>
      <c r="AD25" s="104"/>
      <c r="AE25" s="104"/>
    </row>
    <row r="26" ht="15.75" customHeight="1">
      <c r="A26" s="142"/>
      <c r="B26" s="143" t="s">
        <v>133</v>
      </c>
      <c r="C26" s="144"/>
      <c r="D26" s="144"/>
      <c r="E26" s="144"/>
      <c r="F26" s="145">
        <f t="shared" ref="F26:I26" si="3">SUM(F9:F25)</f>
        <v>60</v>
      </c>
      <c r="G26" s="144">
        <f t="shared" si="3"/>
        <v>1440</v>
      </c>
      <c r="H26" s="144">
        <f t="shared" si="3"/>
        <v>442</v>
      </c>
      <c r="I26" s="144">
        <f t="shared" si="3"/>
        <v>716</v>
      </c>
      <c r="J26" s="144"/>
      <c r="K26" s="144">
        <f t="shared" ref="K26:L26" si="4">SUM(K9:K25)</f>
        <v>210</v>
      </c>
      <c r="L26" s="144">
        <f t="shared" si="4"/>
        <v>360</v>
      </c>
      <c r="M26" s="144"/>
      <c r="N26" s="144"/>
      <c r="O26" s="144">
        <f t="shared" ref="O26:P26" si="5">SUM(O9:O25)</f>
        <v>600</v>
      </c>
      <c r="P26" s="144">
        <f t="shared" si="5"/>
        <v>840</v>
      </c>
      <c r="Q26" s="144"/>
      <c r="R26" s="144"/>
      <c r="S26" s="144"/>
      <c r="T26" s="144"/>
      <c r="U26" s="144"/>
      <c r="V26" s="144"/>
      <c r="W26" s="103"/>
      <c r="X26" s="104"/>
      <c r="Y26" s="104"/>
      <c r="Z26" s="104"/>
      <c r="AA26" s="104"/>
      <c r="AB26" s="104"/>
      <c r="AC26" s="104"/>
      <c r="AD26" s="104"/>
      <c r="AE26" s="104"/>
    </row>
    <row r="27" ht="16.5" customHeight="1">
      <c r="A27" s="146" t="s">
        <v>134</v>
      </c>
      <c r="B27" s="147" t="s">
        <v>135</v>
      </c>
      <c r="C27" s="148"/>
      <c r="D27" s="148"/>
      <c r="E27" s="148"/>
      <c r="F27" s="149"/>
      <c r="G27" s="149"/>
      <c r="H27" s="150"/>
      <c r="I27" s="149"/>
      <c r="J27" s="150"/>
      <c r="K27" s="149"/>
      <c r="L27" s="149"/>
      <c r="M27" s="150"/>
      <c r="N27" s="150"/>
      <c r="O27" s="149"/>
      <c r="P27" s="149"/>
      <c r="Q27" s="149"/>
      <c r="R27" s="149"/>
      <c r="S27" s="149"/>
      <c r="T27" s="151"/>
      <c r="U27" s="152"/>
      <c r="V27" s="152"/>
      <c r="W27" s="103"/>
      <c r="X27" s="104"/>
      <c r="Y27" s="104"/>
      <c r="Z27" s="104"/>
      <c r="AA27" s="104"/>
      <c r="AB27" s="104"/>
      <c r="AC27" s="104"/>
      <c r="AD27" s="104"/>
      <c r="AE27" s="104"/>
    </row>
    <row r="28" ht="28.5" customHeight="1">
      <c r="A28" s="153"/>
      <c r="B28" s="154" t="s">
        <v>136</v>
      </c>
      <c r="C28" s="155"/>
      <c r="D28" s="156">
        <v>3.4</v>
      </c>
      <c r="E28" s="157"/>
      <c r="F28" s="158">
        <f t="shared" ref="F28:F30" si="6">G28/24</f>
        <v>2</v>
      </c>
      <c r="G28" s="159">
        <f t="shared" ref="G28:G29" si="7">SUM(H28:K28)</f>
        <v>48</v>
      </c>
      <c r="H28" s="160">
        <v>4.0</v>
      </c>
      <c r="I28" s="156">
        <v>32.0</v>
      </c>
      <c r="J28" s="157"/>
      <c r="K28" s="161">
        <v>12.0</v>
      </c>
      <c r="L28" s="161">
        <v>12.0</v>
      </c>
      <c r="M28" s="157"/>
      <c r="N28" s="157"/>
      <c r="O28" s="157"/>
      <c r="P28" s="157"/>
      <c r="Q28" s="162">
        <v>18.0</v>
      </c>
      <c r="R28" s="162">
        <v>30.0</v>
      </c>
      <c r="S28" s="163"/>
      <c r="T28" s="164"/>
      <c r="U28" s="163"/>
      <c r="V28" s="163"/>
      <c r="W28" s="103"/>
      <c r="X28" s="104"/>
      <c r="Y28" s="104"/>
      <c r="Z28" s="104"/>
      <c r="AA28" s="104"/>
      <c r="AB28" s="104"/>
      <c r="AC28" s="104"/>
      <c r="AD28" s="104"/>
      <c r="AE28" s="104"/>
    </row>
    <row r="29" ht="29.25" customHeight="1">
      <c r="A29" s="165"/>
      <c r="B29" s="166" t="s">
        <v>137</v>
      </c>
      <c r="C29" s="164"/>
      <c r="D29" s="156">
        <v>3.4</v>
      </c>
      <c r="E29" s="167"/>
      <c r="F29" s="158">
        <f t="shared" si="6"/>
        <v>2</v>
      </c>
      <c r="G29" s="159">
        <f t="shared" si="7"/>
        <v>48</v>
      </c>
      <c r="H29" s="160">
        <v>4.0</v>
      </c>
      <c r="I29" s="168">
        <v>32.0</v>
      </c>
      <c r="J29" s="167"/>
      <c r="K29" s="169">
        <v>12.0</v>
      </c>
      <c r="L29" s="169">
        <v>24.0</v>
      </c>
      <c r="M29" s="167"/>
      <c r="N29" s="167"/>
      <c r="O29" s="167"/>
      <c r="P29" s="167"/>
      <c r="Q29" s="164">
        <v>18.0</v>
      </c>
      <c r="R29" s="164">
        <v>30.0</v>
      </c>
      <c r="S29" s="164"/>
      <c r="T29" s="164"/>
      <c r="U29" s="164"/>
      <c r="V29" s="164"/>
      <c r="W29" s="103"/>
      <c r="X29" s="104"/>
      <c r="Y29" s="104"/>
      <c r="Z29" s="104"/>
      <c r="AA29" s="104"/>
      <c r="AB29" s="104"/>
      <c r="AC29" s="104"/>
      <c r="AD29" s="104"/>
      <c r="AE29" s="104"/>
    </row>
    <row r="30" ht="15.0" customHeight="1">
      <c r="A30" s="170"/>
      <c r="B30" s="171" t="s">
        <v>138</v>
      </c>
      <c r="C30" s="172"/>
      <c r="D30" s="173"/>
      <c r="E30" s="174"/>
      <c r="F30" s="175">
        <f t="shared" si="6"/>
        <v>4</v>
      </c>
      <c r="G30" s="176">
        <f t="shared" ref="G30:K30" si="8">SUM(G28:G29)</f>
        <v>96</v>
      </c>
      <c r="H30" s="176">
        <f t="shared" si="8"/>
        <v>8</v>
      </c>
      <c r="I30" s="176">
        <f t="shared" si="8"/>
        <v>64</v>
      </c>
      <c r="J30" s="176">
        <f t="shared" si="8"/>
        <v>0</v>
      </c>
      <c r="K30" s="176">
        <f t="shared" si="8"/>
        <v>24</v>
      </c>
      <c r="L30" s="174"/>
      <c r="M30" s="174"/>
      <c r="N30" s="174"/>
      <c r="O30" s="174"/>
      <c r="P30" s="174"/>
      <c r="Q30" s="177">
        <f t="shared" ref="Q30:R30" si="9">SUM(Q28:Q29)</f>
        <v>36</v>
      </c>
      <c r="R30" s="177">
        <f t="shared" si="9"/>
        <v>60</v>
      </c>
      <c r="S30" s="172"/>
      <c r="T30" s="172"/>
      <c r="U30" s="172"/>
      <c r="V30" s="172"/>
      <c r="W30" s="178"/>
      <c r="X30" s="104"/>
      <c r="Y30" s="104"/>
      <c r="Z30" s="104"/>
      <c r="AA30" s="104"/>
      <c r="AB30" s="104"/>
      <c r="AC30" s="104"/>
      <c r="AD30" s="104"/>
      <c r="AE30" s="104"/>
    </row>
    <row r="31" ht="15.75" customHeight="1">
      <c r="A31" s="170"/>
      <c r="B31" s="179" t="s">
        <v>139</v>
      </c>
      <c r="C31" s="172"/>
      <c r="D31" s="173"/>
      <c r="E31" s="174"/>
      <c r="F31" s="180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2"/>
      <c r="T31" s="181"/>
      <c r="U31" s="181"/>
      <c r="V31" s="182"/>
      <c r="W31" s="104"/>
      <c r="X31" s="104"/>
      <c r="Y31" s="104"/>
      <c r="Z31" s="104"/>
      <c r="AA31" s="104"/>
      <c r="AB31" s="104"/>
      <c r="AC31" s="104"/>
      <c r="AD31" s="104"/>
      <c r="AE31" s="104"/>
    </row>
    <row r="32" ht="18.75" customHeight="1">
      <c r="A32" s="183"/>
      <c r="B32" s="184" t="s">
        <v>140</v>
      </c>
      <c r="C32" s="185"/>
      <c r="D32" s="186"/>
      <c r="E32" s="186"/>
      <c r="F32" s="187">
        <f>G32/24</f>
        <v>4</v>
      </c>
      <c r="G32" s="185">
        <f t="shared" ref="G32:K32" si="10">G31+G30</f>
        <v>96</v>
      </c>
      <c r="H32" s="185">
        <f t="shared" si="10"/>
        <v>8</v>
      </c>
      <c r="I32" s="185">
        <f t="shared" si="10"/>
        <v>64</v>
      </c>
      <c r="J32" s="185">
        <f t="shared" si="10"/>
        <v>0</v>
      </c>
      <c r="K32" s="185">
        <f t="shared" si="10"/>
        <v>24</v>
      </c>
      <c r="L32" s="185">
        <f>SUM(L28:L29)</f>
        <v>36</v>
      </c>
      <c r="M32" s="185">
        <f t="shared" ref="M32:N32" si="11">M31+M30</f>
        <v>0</v>
      </c>
      <c r="N32" s="185">
        <f t="shared" si="11"/>
        <v>0</v>
      </c>
      <c r="O32" s="185">
        <f t="shared" ref="O32:P32" si="12">SUM(O28:O31)</f>
        <v>0</v>
      </c>
      <c r="P32" s="185">
        <f t="shared" si="12"/>
        <v>0</v>
      </c>
      <c r="Q32" s="185">
        <f t="shared" ref="Q32:R32" si="13">SUM(Q28:Q29)</f>
        <v>36</v>
      </c>
      <c r="R32" s="185">
        <f t="shared" si="13"/>
        <v>60</v>
      </c>
      <c r="S32" s="185">
        <f t="shared" ref="S32:V32" si="14">S28+S29</f>
        <v>0</v>
      </c>
      <c r="T32" s="185">
        <f t="shared" si="14"/>
        <v>0</v>
      </c>
      <c r="U32" s="185">
        <f t="shared" si="14"/>
        <v>0</v>
      </c>
      <c r="V32" s="185">
        <f t="shared" si="14"/>
        <v>0</v>
      </c>
      <c r="W32" s="103"/>
      <c r="X32" s="104"/>
      <c r="Y32" s="104"/>
      <c r="Z32" s="104"/>
      <c r="AA32" s="104"/>
      <c r="AB32" s="104"/>
      <c r="AC32" s="104"/>
      <c r="AD32" s="104"/>
      <c r="AE32" s="104"/>
    </row>
    <row r="33" ht="27.75" customHeight="1">
      <c r="A33" s="146" t="s">
        <v>141</v>
      </c>
      <c r="B33" s="147" t="s">
        <v>142</v>
      </c>
      <c r="C33" s="148"/>
      <c r="D33" s="148"/>
      <c r="E33" s="148"/>
      <c r="F33" s="188"/>
      <c r="G33" s="149"/>
      <c r="H33" s="149"/>
      <c r="I33" s="149"/>
      <c r="J33" s="150"/>
      <c r="K33" s="149"/>
      <c r="L33" s="149"/>
      <c r="M33" s="150"/>
      <c r="N33" s="150"/>
      <c r="O33" s="150"/>
      <c r="P33" s="150"/>
      <c r="Q33" s="149"/>
      <c r="R33" s="149"/>
      <c r="S33" s="150"/>
      <c r="T33" s="150"/>
      <c r="U33" s="152"/>
      <c r="V33" s="152"/>
      <c r="W33" s="189"/>
      <c r="X33" s="189"/>
      <c r="Y33" s="189"/>
      <c r="Z33" s="189"/>
      <c r="AA33" s="189"/>
      <c r="AB33" s="189"/>
      <c r="AC33" s="189"/>
      <c r="AD33" s="189"/>
      <c r="AE33" s="189"/>
    </row>
    <row r="34" ht="30.0" customHeight="1">
      <c r="A34" s="165"/>
      <c r="B34" s="166" t="s">
        <v>143</v>
      </c>
      <c r="C34" s="167"/>
      <c r="D34" s="168">
        <v>3.0</v>
      </c>
      <c r="E34" s="167"/>
      <c r="F34" s="190">
        <f t="shared" ref="F34:F37" si="15">G34/24</f>
        <v>1</v>
      </c>
      <c r="G34" s="159">
        <f t="shared" ref="G34:G36" si="16">SUM(H34:K34)</f>
        <v>24</v>
      </c>
      <c r="H34" s="156">
        <v>10.0</v>
      </c>
      <c r="I34" s="191">
        <v>8.0</v>
      </c>
      <c r="J34" s="167"/>
      <c r="K34" s="169">
        <v>6.0</v>
      </c>
      <c r="L34" s="169">
        <v>24.0</v>
      </c>
      <c r="M34" s="167"/>
      <c r="N34" s="167"/>
      <c r="O34" s="167"/>
      <c r="P34" s="167"/>
      <c r="Q34" s="169">
        <v>24.0</v>
      </c>
      <c r="R34" s="167"/>
      <c r="S34" s="167"/>
      <c r="T34" s="167"/>
      <c r="U34" s="167"/>
      <c r="V34" s="167"/>
      <c r="W34" s="189"/>
      <c r="X34" s="189"/>
      <c r="Y34" s="189"/>
      <c r="Z34" s="189"/>
      <c r="AA34" s="189"/>
      <c r="AB34" s="189"/>
      <c r="AC34" s="189"/>
      <c r="AD34" s="189"/>
      <c r="AE34" s="189"/>
    </row>
    <row r="35" ht="31.5" customHeight="1">
      <c r="A35" s="165"/>
      <c r="B35" s="166" t="s">
        <v>144</v>
      </c>
      <c r="C35" s="167"/>
      <c r="D35" s="168">
        <v>3.0</v>
      </c>
      <c r="E35" s="167"/>
      <c r="F35" s="190">
        <f t="shared" si="15"/>
        <v>1</v>
      </c>
      <c r="G35" s="159">
        <f t="shared" si="16"/>
        <v>24</v>
      </c>
      <c r="H35" s="156">
        <v>10.0</v>
      </c>
      <c r="I35" s="191">
        <v>8.0</v>
      </c>
      <c r="J35" s="167"/>
      <c r="K35" s="169">
        <v>6.0</v>
      </c>
      <c r="L35" s="169">
        <v>24.0</v>
      </c>
      <c r="M35" s="167"/>
      <c r="N35" s="167"/>
      <c r="O35" s="167"/>
      <c r="P35" s="167"/>
      <c r="Q35" s="169">
        <v>24.0</v>
      </c>
      <c r="R35" s="167"/>
      <c r="S35" s="167"/>
      <c r="T35" s="167"/>
      <c r="U35" s="167"/>
      <c r="V35" s="167"/>
      <c r="W35" s="189"/>
      <c r="X35" s="189"/>
      <c r="Y35" s="189"/>
      <c r="Z35" s="189"/>
      <c r="AA35" s="189"/>
      <c r="AB35" s="189"/>
      <c r="AC35" s="189"/>
      <c r="AD35" s="189"/>
      <c r="AE35" s="189"/>
    </row>
    <row r="36" ht="30.75" customHeight="1">
      <c r="A36" s="165"/>
      <c r="B36" s="192" t="s">
        <v>145</v>
      </c>
      <c r="C36" s="167"/>
      <c r="D36" s="191">
        <v>3.0</v>
      </c>
      <c r="E36" s="167"/>
      <c r="F36" s="190">
        <f t="shared" si="15"/>
        <v>2</v>
      </c>
      <c r="G36" s="159">
        <f t="shared" si="16"/>
        <v>48</v>
      </c>
      <c r="H36" s="156">
        <v>22.0</v>
      </c>
      <c r="I36" s="168">
        <v>20.0</v>
      </c>
      <c r="J36" s="167"/>
      <c r="K36" s="164">
        <v>6.0</v>
      </c>
      <c r="L36" s="164">
        <v>24.0</v>
      </c>
      <c r="M36" s="167"/>
      <c r="N36" s="167"/>
      <c r="O36" s="167"/>
      <c r="P36" s="167"/>
      <c r="Q36" s="164">
        <v>48.0</v>
      </c>
      <c r="R36" s="167"/>
      <c r="S36" s="167"/>
      <c r="T36" s="167"/>
      <c r="U36" s="167"/>
      <c r="V36" s="167"/>
      <c r="W36" s="189"/>
      <c r="X36" s="189"/>
      <c r="Y36" s="189"/>
      <c r="Z36" s="189"/>
      <c r="AA36" s="189"/>
      <c r="AB36" s="189"/>
      <c r="AC36" s="189"/>
      <c r="AD36" s="189"/>
      <c r="AE36" s="189"/>
    </row>
    <row r="37" ht="17.25" customHeight="1">
      <c r="A37" s="170"/>
      <c r="B37" s="171" t="s">
        <v>138</v>
      </c>
      <c r="C37" s="174"/>
      <c r="D37" s="173"/>
      <c r="E37" s="174"/>
      <c r="F37" s="193">
        <f t="shared" si="15"/>
        <v>4</v>
      </c>
      <c r="G37" s="176">
        <f>H37+I37+J37+K37</f>
        <v>96</v>
      </c>
      <c r="H37" s="176">
        <f t="shared" ref="H37:K37" si="17">SUM(H34:H36)</f>
        <v>42</v>
      </c>
      <c r="I37" s="176">
        <f t="shared" si="17"/>
        <v>36</v>
      </c>
      <c r="J37" s="176">
        <f t="shared" si="17"/>
        <v>0</v>
      </c>
      <c r="K37" s="176">
        <f t="shared" si="17"/>
        <v>18</v>
      </c>
      <c r="L37" s="174"/>
      <c r="M37" s="174"/>
      <c r="N37" s="174"/>
      <c r="O37" s="174"/>
      <c r="P37" s="174"/>
      <c r="Q37" s="177">
        <f>SUM(Q34:Q36)</f>
        <v>96</v>
      </c>
      <c r="R37" s="174"/>
      <c r="S37" s="174"/>
      <c r="T37" s="174"/>
      <c r="U37" s="174"/>
      <c r="V37" s="174"/>
      <c r="W37" s="189"/>
      <c r="X37" s="189"/>
      <c r="Y37" s="189"/>
      <c r="Z37" s="189"/>
      <c r="AA37" s="189"/>
      <c r="AB37" s="189"/>
      <c r="AC37" s="189"/>
      <c r="AD37" s="189"/>
      <c r="AE37" s="189"/>
    </row>
    <row r="38" ht="18.0" customHeight="1">
      <c r="A38" s="170"/>
      <c r="B38" s="179" t="s">
        <v>146</v>
      </c>
      <c r="C38" s="174"/>
      <c r="D38" s="173"/>
      <c r="E38" s="174"/>
      <c r="F38" s="180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89"/>
      <c r="X38" s="189"/>
      <c r="Y38" s="189"/>
      <c r="Z38" s="189"/>
      <c r="AA38" s="189"/>
      <c r="AB38" s="189"/>
      <c r="AC38" s="189"/>
      <c r="AD38" s="189"/>
      <c r="AE38" s="189"/>
    </row>
    <row r="39" ht="18.0" customHeight="1">
      <c r="A39" s="183"/>
      <c r="B39" s="184" t="s">
        <v>147</v>
      </c>
      <c r="C39" s="186"/>
      <c r="D39" s="185">
        <v>3.0</v>
      </c>
      <c r="E39" s="186"/>
      <c r="F39" s="187">
        <f>G39/24</f>
        <v>4</v>
      </c>
      <c r="G39" s="185">
        <f t="shared" ref="G39:K39" si="18">G38+G37</f>
        <v>96</v>
      </c>
      <c r="H39" s="185">
        <f t="shared" si="18"/>
        <v>42</v>
      </c>
      <c r="I39" s="185">
        <f t="shared" si="18"/>
        <v>36</v>
      </c>
      <c r="J39" s="185">
        <f t="shared" si="18"/>
        <v>0</v>
      </c>
      <c r="K39" s="185">
        <f t="shared" si="18"/>
        <v>18</v>
      </c>
      <c r="L39" s="185">
        <f>SUM(L34:L36)</f>
        <v>72</v>
      </c>
      <c r="M39" s="185">
        <f t="shared" ref="M39:V39" si="19">M38+M37</f>
        <v>0</v>
      </c>
      <c r="N39" s="185">
        <f t="shared" si="19"/>
        <v>0</v>
      </c>
      <c r="O39" s="185">
        <f t="shared" si="19"/>
        <v>0</v>
      </c>
      <c r="P39" s="185">
        <f t="shared" si="19"/>
        <v>0</v>
      </c>
      <c r="Q39" s="185">
        <f t="shared" si="19"/>
        <v>96</v>
      </c>
      <c r="R39" s="185">
        <f t="shared" si="19"/>
        <v>0</v>
      </c>
      <c r="S39" s="185">
        <f t="shared" si="19"/>
        <v>0</v>
      </c>
      <c r="T39" s="185">
        <f t="shared" si="19"/>
        <v>0</v>
      </c>
      <c r="U39" s="185">
        <f t="shared" si="19"/>
        <v>0</v>
      </c>
      <c r="V39" s="185">
        <f t="shared" si="19"/>
        <v>0</v>
      </c>
      <c r="W39" s="103"/>
      <c r="X39" s="104"/>
      <c r="Y39" s="104"/>
      <c r="Z39" s="104"/>
      <c r="AA39" s="104"/>
      <c r="AB39" s="104"/>
      <c r="AC39" s="104"/>
      <c r="AD39" s="104"/>
      <c r="AE39" s="104"/>
    </row>
    <row r="40" ht="29.25" customHeight="1">
      <c r="A40" s="146" t="s">
        <v>148</v>
      </c>
      <c r="B40" s="147" t="s">
        <v>149</v>
      </c>
      <c r="C40" s="150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89"/>
      <c r="X40" s="189"/>
      <c r="Y40" s="189"/>
      <c r="Z40" s="189"/>
      <c r="AA40" s="189"/>
      <c r="AB40" s="189"/>
      <c r="AC40" s="189"/>
      <c r="AD40" s="189"/>
      <c r="AE40" s="189"/>
    </row>
    <row r="41" ht="28.5" customHeight="1">
      <c r="A41" s="194"/>
      <c r="B41" s="166" t="s">
        <v>150</v>
      </c>
      <c r="C41" s="167"/>
      <c r="D41" s="168">
        <v>3.0</v>
      </c>
      <c r="E41" s="167"/>
      <c r="F41" s="190">
        <f t="shared" ref="F41:F46" si="20">G41/24</f>
        <v>0.3333333333</v>
      </c>
      <c r="G41" s="159">
        <f t="shared" ref="G41:G45" si="21">SUM(H41:K41)</f>
        <v>8</v>
      </c>
      <c r="H41" s="156">
        <v>4.0</v>
      </c>
      <c r="I41" s="168">
        <v>2.0</v>
      </c>
      <c r="J41" s="167"/>
      <c r="K41" s="164">
        <v>2.0</v>
      </c>
      <c r="L41" s="164">
        <v>12.0</v>
      </c>
      <c r="M41" s="167"/>
      <c r="N41" s="167"/>
      <c r="O41" s="167"/>
      <c r="P41" s="167"/>
      <c r="Q41" s="164">
        <v>8.0</v>
      </c>
      <c r="R41" s="167"/>
      <c r="S41" s="167"/>
      <c r="T41" s="167"/>
      <c r="U41" s="167"/>
      <c r="V41" s="167"/>
      <c r="W41" s="189"/>
      <c r="X41" s="189"/>
      <c r="Y41" s="189"/>
      <c r="Z41" s="189"/>
      <c r="AA41" s="189"/>
      <c r="AB41" s="189"/>
      <c r="AC41" s="189"/>
      <c r="AD41" s="189"/>
      <c r="AE41" s="189"/>
    </row>
    <row r="42" ht="30.0" customHeight="1">
      <c r="A42" s="195"/>
      <c r="B42" s="196" t="s">
        <v>151</v>
      </c>
      <c r="C42" s="167"/>
      <c r="D42" s="168">
        <v>3.0</v>
      </c>
      <c r="E42" s="167"/>
      <c r="F42" s="190">
        <f t="shared" si="20"/>
        <v>0.3333333333</v>
      </c>
      <c r="G42" s="159">
        <f t="shared" si="21"/>
        <v>8</v>
      </c>
      <c r="H42" s="156">
        <v>4.0</v>
      </c>
      <c r="I42" s="168">
        <v>2.0</v>
      </c>
      <c r="J42" s="167"/>
      <c r="K42" s="164">
        <v>2.0</v>
      </c>
      <c r="L42" s="164">
        <v>12.0</v>
      </c>
      <c r="M42" s="167"/>
      <c r="N42" s="167"/>
      <c r="O42" s="167"/>
      <c r="P42" s="167"/>
      <c r="Q42" s="164">
        <v>8.0</v>
      </c>
      <c r="R42" s="167"/>
      <c r="S42" s="167"/>
      <c r="T42" s="167"/>
      <c r="U42" s="167"/>
      <c r="V42" s="167"/>
      <c r="W42" s="189"/>
      <c r="X42" s="189"/>
      <c r="Y42" s="189"/>
      <c r="Z42" s="189"/>
      <c r="AA42" s="189"/>
      <c r="AB42" s="189"/>
      <c r="AC42" s="189"/>
      <c r="AD42" s="189"/>
      <c r="AE42" s="189"/>
    </row>
    <row r="43" ht="30.75" customHeight="1">
      <c r="A43" s="195"/>
      <c r="B43" s="197" t="s">
        <v>152</v>
      </c>
      <c r="C43" s="167"/>
      <c r="D43" s="168">
        <v>3.0</v>
      </c>
      <c r="E43" s="167"/>
      <c r="F43" s="190">
        <f t="shared" si="20"/>
        <v>0.3333333333</v>
      </c>
      <c r="G43" s="159">
        <f t="shared" si="21"/>
        <v>8</v>
      </c>
      <c r="H43" s="156">
        <v>4.0</v>
      </c>
      <c r="I43" s="168">
        <v>2.0</v>
      </c>
      <c r="J43" s="167"/>
      <c r="K43" s="164">
        <v>2.0</v>
      </c>
      <c r="L43" s="164">
        <v>12.0</v>
      </c>
      <c r="M43" s="167"/>
      <c r="N43" s="167"/>
      <c r="O43" s="167"/>
      <c r="P43" s="167"/>
      <c r="Q43" s="164">
        <v>8.0</v>
      </c>
      <c r="R43" s="167"/>
      <c r="S43" s="167"/>
      <c r="T43" s="167"/>
      <c r="U43" s="167"/>
      <c r="V43" s="167"/>
      <c r="W43" s="189"/>
      <c r="X43" s="189"/>
      <c r="Y43" s="189"/>
      <c r="Z43" s="189"/>
      <c r="AA43" s="189"/>
      <c r="AB43" s="189"/>
      <c r="AC43" s="189"/>
      <c r="AD43" s="189"/>
      <c r="AE43" s="189"/>
    </row>
    <row r="44" ht="42.0" customHeight="1">
      <c r="A44" s="195"/>
      <c r="B44" s="166" t="s">
        <v>153</v>
      </c>
      <c r="C44" s="167"/>
      <c r="D44" s="168">
        <v>3.0</v>
      </c>
      <c r="E44" s="167"/>
      <c r="F44" s="190">
        <f t="shared" si="20"/>
        <v>0.5</v>
      </c>
      <c r="G44" s="159">
        <f t="shared" si="21"/>
        <v>12</v>
      </c>
      <c r="H44" s="156">
        <v>6.0</v>
      </c>
      <c r="I44" s="168">
        <v>4.0</v>
      </c>
      <c r="J44" s="167"/>
      <c r="K44" s="164">
        <v>2.0</v>
      </c>
      <c r="L44" s="164">
        <v>12.0</v>
      </c>
      <c r="M44" s="167"/>
      <c r="N44" s="167"/>
      <c r="O44" s="167"/>
      <c r="P44" s="167"/>
      <c r="Q44" s="164">
        <v>12.0</v>
      </c>
      <c r="R44" s="167"/>
      <c r="S44" s="167"/>
      <c r="T44" s="167"/>
      <c r="U44" s="167"/>
      <c r="V44" s="167"/>
      <c r="W44" s="189"/>
      <c r="X44" s="189"/>
      <c r="Y44" s="189"/>
      <c r="Z44" s="189"/>
      <c r="AA44" s="189"/>
      <c r="AB44" s="189"/>
      <c r="AC44" s="189"/>
      <c r="AD44" s="189"/>
      <c r="AE44" s="189"/>
    </row>
    <row r="45" ht="17.25" customHeight="1">
      <c r="A45" s="195"/>
      <c r="B45" s="198" t="s">
        <v>154</v>
      </c>
      <c r="C45" s="167"/>
      <c r="D45" s="168">
        <v>3.0</v>
      </c>
      <c r="E45" s="167"/>
      <c r="F45" s="190">
        <f t="shared" si="20"/>
        <v>0.5</v>
      </c>
      <c r="G45" s="159">
        <f t="shared" si="21"/>
        <v>12</v>
      </c>
      <c r="H45" s="156">
        <v>6.0</v>
      </c>
      <c r="I45" s="168">
        <v>4.0</v>
      </c>
      <c r="J45" s="167"/>
      <c r="K45" s="164">
        <v>2.0</v>
      </c>
      <c r="L45" s="164">
        <v>12.0</v>
      </c>
      <c r="M45" s="167"/>
      <c r="N45" s="167"/>
      <c r="O45" s="167"/>
      <c r="P45" s="167"/>
      <c r="Q45" s="164">
        <v>12.0</v>
      </c>
      <c r="R45" s="167"/>
      <c r="S45" s="167"/>
      <c r="T45" s="167"/>
      <c r="U45" s="167"/>
      <c r="V45" s="167"/>
      <c r="W45" s="189"/>
      <c r="X45" s="189"/>
      <c r="Y45" s="189"/>
      <c r="Z45" s="189"/>
      <c r="AA45" s="189"/>
      <c r="AB45" s="189"/>
      <c r="AC45" s="189"/>
      <c r="AD45" s="189"/>
      <c r="AE45" s="189"/>
    </row>
    <row r="46" ht="18.75" customHeight="1">
      <c r="A46" s="199"/>
      <c r="B46" s="200" t="s">
        <v>138</v>
      </c>
      <c r="C46" s="174"/>
      <c r="D46" s="174"/>
      <c r="E46" s="174"/>
      <c r="F46" s="193">
        <f t="shared" si="20"/>
        <v>2</v>
      </c>
      <c r="G46" s="176">
        <f>H46+I46+J46+K46</f>
        <v>48</v>
      </c>
      <c r="H46" s="176">
        <f t="shared" ref="H46:K46" si="22">H41+H42+H43+H44+H45</f>
        <v>24</v>
      </c>
      <c r="I46" s="176">
        <f t="shared" si="22"/>
        <v>14</v>
      </c>
      <c r="J46" s="176">
        <f t="shared" si="22"/>
        <v>0</v>
      </c>
      <c r="K46" s="176">
        <f t="shared" si="22"/>
        <v>10</v>
      </c>
      <c r="L46" s="174"/>
      <c r="M46" s="174"/>
      <c r="N46" s="174"/>
      <c r="O46" s="174"/>
      <c r="P46" s="174"/>
      <c r="Q46" s="177">
        <f>SUM(Q41:Q45)</f>
        <v>48</v>
      </c>
      <c r="R46" s="174"/>
      <c r="S46" s="174"/>
      <c r="T46" s="174"/>
      <c r="U46" s="174"/>
      <c r="V46" s="174"/>
      <c r="W46" s="189"/>
      <c r="X46" s="189"/>
      <c r="Y46" s="189"/>
      <c r="Z46" s="189"/>
      <c r="AA46" s="189"/>
      <c r="AB46" s="189"/>
      <c r="AC46" s="189"/>
      <c r="AD46" s="189"/>
      <c r="AE46" s="189"/>
    </row>
    <row r="47" ht="15.75" customHeight="1">
      <c r="A47" s="199"/>
      <c r="B47" s="201" t="s">
        <v>155</v>
      </c>
      <c r="C47" s="174"/>
      <c r="D47" s="174"/>
      <c r="E47" s="174"/>
      <c r="F47" s="180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89"/>
      <c r="X47" s="189"/>
      <c r="Y47" s="189"/>
      <c r="Z47" s="189"/>
      <c r="AA47" s="189"/>
      <c r="AB47" s="189"/>
      <c r="AC47" s="189"/>
      <c r="AD47" s="189"/>
      <c r="AE47" s="189"/>
    </row>
    <row r="48" ht="17.25" customHeight="1">
      <c r="A48" s="202"/>
      <c r="B48" s="203" t="s">
        <v>156</v>
      </c>
      <c r="C48" s="186"/>
      <c r="D48" s="185">
        <v>3.0</v>
      </c>
      <c r="E48" s="186"/>
      <c r="F48" s="187">
        <f>G48/24</f>
        <v>2</v>
      </c>
      <c r="G48" s="185">
        <f t="shared" ref="G48:K48" si="23">SUM(G47,G46)</f>
        <v>48</v>
      </c>
      <c r="H48" s="185">
        <f t="shared" si="23"/>
        <v>24</v>
      </c>
      <c r="I48" s="185">
        <f t="shared" si="23"/>
        <v>14</v>
      </c>
      <c r="J48" s="185">
        <f t="shared" si="23"/>
        <v>0</v>
      </c>
      <c r="K48" s="185">
        <f t="shared" si="23"/>
        <v>10</v>
      </c>
      <c r="L48" s="185">
        <f>L41+L42+L43+L44+L45</f>
        <v>60</v>
      </c>
      <c r="M48" s="185">
        <f t="shared" ref="M48:N48" si="24">M47+M46</f>
        <v>0</v>
      </c>
      <c r="N48" s="185">
        <f t="shared" si="24"/>
        <v>0</v>
      </c>
      <c r="O48" s="185">
        <f t="shared" ref="O48:P48" si="25">O41+O42+O43+O44+O45</f>
        <v>0</v>
      </c>
      <c r="P48" s="185">
        <f t="shared" si="25"/>
        <v>0</v>
      </c>
      <c r="Q48" s="185">
        <f t="shared" ref="Q48:V48" si="26">SUM(Q41:Q45)</f>
        <v>48</v>
      </c>
      <c r="R48" s="185">
        <f t="shared" si="26"/>
        <v>0</v>
      </c>
      <c r="S48" s="185">
        <f t="shared" si="26"/>
        <v>0</v>
      </c>
      <c r="T48" s="185">
        <f t="shared" si="26"/>
        <v>0</v>
      </c>
      <c r="U48" s="185">
        <f t="shared" si="26"/>
        <v>0</v>
      </c>
      <c r="V48" s="185">
        <f t="shared" si="26"/>
        <v>0</v>
      </c>
      <c r="W48" s="103"/>
      <c r="X48" s="104"/>
      <c r="Y48" s="104"/>
      <c r="Z48" s="104"/>
      <c r="AA48" s="104"/>
      <c r="AB48" s="104"/>
      <c r="AC48" s="104"/>
      <c r="AD48" s="104"/>
      <c r="AE48" s="104"/>
    </row>
    <row r="49" ht="30.0" customHeight="1">
      <c r="A49" s="146" t="s">
        <v>157</v>
      </c>
      <c r="B49" s="147" t="s">
        <v>158</v>
      </c>
      <c r="C49" s="204"/>
      <c r="D49" s="204"/>
      <c r="E49" s="205"/>
      <c r="F49" s="206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4"/>
      <c r="S49" s="204"/>
      <c r="T49" s="204"/>
      <c r="U49" s="204"/>
      <c r="V49" s="204"/>
      <c r="W49" s="189"/>
      <c r="X49" s="189"/>
      <c r="Y49" s="189"/>
      <c r="Z49" s="189"/>
      <c r="AA49" s="189"/>
      <c r="AB49" s="189"/>
      <c r="AC49" s="189"/>
      <c r="AD49" s="189"/>
      <c r="AE49" s="189"/>
    </row>
    <row r="50" ht="29.25" customHeight="1">
      <c r="A50" s="194"/>
      <c r="B50" s="166" t="s">
        <v>159</v>
      </c>
      <c r="C50" s="167"/>
      <c r="D50" s="164">
        <v>3.0</v>
      </c>
      <c r="E50" s="167"/>
      <c r="F50" s="190">
        <f t="shared" ref="F50:F54" si="27">G50/24</f>
        <v>1</v>
      </c>
      <c r="G50" s="159">
        <f t="shared" ref="G50:G53" si="28">SUM(H50:K50)</f>
        <v>24</v>
      </c>
      <c r="H50" s="156">
        <v>8.0</v>
      </c>
      <c r="I50" s="168">
        <v>10.0</v>
      </c>
      <c r="J50" s="167"/>
      <c r="K50" s="164">
        <v>6.0</v>
      </c>
      <c r="L50" s="169">
        <v>24.0</v>
      </c>
      <c r="M50" s="167"/>
      <c r="N50" s="167"/>
      <c r="O50" s="167"/>
      <c r="P50" s="167"/>
      <c r="Q50" s="164">
        <v>24.0</v>
      </c>
      <c r="R50" s="167"/>
      <c r="S50" s="167"/>
      <c r="T50" s="167"/>
      <c r="U50" s="167"/>
      <c r="V50" s="167"/>
      <c r="W50" s="189"/>
      <c r="X50" s="189"/>
      <c r="Y50" s="189"/>
      <c r="Z50" s="189"/>
      <c r="AA50" s="189"/>
      <c r="AB50" s="189"/>
      <c r="AC50" s="189"/>
      <c r="AD50" s="189"/>
      <c r="AE50" s="189"/>
    </row>
    <row r="51" ht="28.5" customHeight="1">
      <c r="A51" s="165"/>
      <c r="B51" s="166" t="s">
        <v>160</v>
      </c>
      <c r="C51" s="167"/>
      <c r="D51" s="164">
        <v>3.0</v>
      </c>
      <c r="E51" s="167"/>
      <c r="F51" s="190">
        <f t="shared" si="27"/>
        <v>1</v>
      </c>
      <c r="G51" s="159">
        <f t="shared" si="28"/>
        <v>24</v>
      </c>
      <c r="H51" s="156">
        <v>8.0</v>
      </c>
      <c r="I51" s="168">
        <v>10.0</v>
      </c>
      <c r="J51" s="167"/>
      <c r="K51" s="164">
        <v>6.0</v>
      </c>
      <c r="L51" s="169">
        <v>24.0</v>
      </c>
      <c r="M51" s="167"/>
      <c r="N51" s="167"/>
      <c r="O51" s="167"/>
      <c r="P51" s="167"/>
      <c r="Q51" s="164">
        <v>24.0</v>
      </c>
      <c r="R51" s="167"/>
      <c r="S51" s="167"/>
      <c r="T51" s="167"/>
      <c r="U51" s="167"/>
      <c r="V51" s="167"/>
      <c r="W51" s="189"/>
      <c r="X51" s="189"/>
      <c r="Y51" s="189"/>
      <c r="Z51" s="189"/>
      <c r="AA51" s="189"/>
      <c r="AB51" s="189"/>
      <c r="AC51" s="189"/>
      <c r="AD51" s="189"/>
      <c r="AE51" s="189"/>
    </row>
    <row r="52" ht="15.75" customHeight="1">
      <c r="A52" s="165"/>
      <c r="B52" s="166" t="s">
        <v>161</v>
      </c>
      <c r="C52" s="167"/>
      <c r="D52" s="164">
        <v>3.0</v>
      </c>
      <c r="E52" s="167"/>
      <c r="F52" s="190">
        <f t="shared" si="27"/>
        <v>1</v>
      </c>
      <c r="G52" s="159">
        <f t="shared" si="28"/>
        <v>24</v>
      </c>
      <c r="H52" s="156">
        <v>8.0</v>
      </c>
      <c r="I52" s="168">
        <v>10.0</v>
      </c>
      <c r="J52" s="167"/>
      <c r="K52" s="164">
        <v>6.0</v>
      </c>
      <c r="L52" s="169">
        <v>24.0</v>
      </c>
      <c r="M52" s="167"/>
      <c r="N52" s="167"/>
      <c r="O52" s="167"/>
      <c r="P52" s="167"/>
      <c r="Q52" s="164">
        <v>24.0</v>
      </c>
      <c r="R52" s="167"/>
      <c r="S52" s="167"/>
      <c r="T52" s="167"/>
      <c r="U52" s="167"/>
      <c r="V52" s="167"/>
      <c r="W52" s="189"/>
      <c r="X52" s="189"/>
      <c r="Y52" s="189"/>
      <c r="Z52" s="189"/>
      <c r="AA52" s="189"/>
      <c r="AB52" s="189"/>
      <c r="AC52" s="189"/>
      <c r="AD52" s="189"/>
      <c r="AE52" s="189"/>
    </row>
    <row r="53" ht="15.75" customHeight="1">
      <c r="A53" s="165"/>
      <c r="B53" s="166" t="s">
        <v>162</v>
      </c>
      <c r="C53" s="167"/>
      <c r="D53" s="164">
        <v>3.0</v>
      </c>
      <c r="E53" s="167"/>
      <c r="F53" s="190">
        <f t="shared" si="27"/>
        <v>1</v>
      </c>
      <c r="G53" s="159">
        <f t="shared" si="28"/>
        <v>24</v>
      </c>
      <c r="H53" s="160">
        <v>8.0</v>
      </c>
      <c r="I53" s="168">
        <v>10.0</v>
      </c>
      <c r="J53" s="167"/>
      <c r="K53" s="164">
        <v>6.0</v>
      </c>
      <c r="L53" s="169">
        <v>24.0</v>
      </c>
      <c r="M53" s="167"/>
      <c r="N53" s="167"/>
      <c r="O53" s="167"/>
      <c r="P53" s="167"/>
      <c r="Q53" s="169">
        <v>24.0</v>
      </c>
      <c r="R53" s="167"/>
      <c r="S53" s="167"/>
      <c r="T53" s="167"/>
      <c r="U53" s="167"/>
      <c r="V53" s="167"/>
      <c r="W53" s="189"/>
      <c r="X53" s="189"/>
      <c r="Y53" s="189"/>
      <c r="Z53" s="189"/>
      <c r="AA53" s="189"/>
      <c r="AB53" s="189"/>
      <c r="AC53" s="189"/>
      <c r="AD53" s="189"/>
      <c r="AE53" s="189"/>
    </row>
    <row r="54" ht="16.5" customHeight="1">
      <c r="A54" s="170"/>
      <c r="B54" s="200" t="s">
        <v>138</v>
      </c>
      <c r="C54" s="174"/>
      <c r="D54" s="174"/>
      <c r="E54" s="174"/>
      <c r="F54" s="193">
        <f t="shared" si="27"/>
        <v>4</v>
      </c>
      <c r="G54" s="176">
        <f>H54+I54+J54+K54</f>
        <v>96</v>
      </c>
      <c r="H54" s="176">
        <f t="shared" ref="H54:K54" si="29">SUM(H50:H53)</f>
        <v>32</v>
      </c>
      <c r="I54" s="176">
        <f t="shared" si="29"/>
        <v>40</v>
      </c>
      <c r="J54" s="176">
        <f t="shared" si="29"/>
        <v>0</v>
      </c>
      <c r="K54" s="176">
        <f t="shared" si="29"/>
        <v>24</v>
      </c>
      <c r="L54" s="174"/>
      <c r="M54" s="174"/>
      <c r="N54" s="174"/>
      <c r="O54" s="174"/>
      <c r="P54" s="174"/>
      <c r="Q54" s="177">
        <f>SUM(Q50:Q53)</f>
        <v>96</v>
      </c>
      <c r="R54" s="174"/>
      <c r="S54" s="174"/>
      <c r="T54" s="174"/>
      <c r="U54" s="174"/>
      <c r="V54" s="174"/>
      <c r="W54" s="207"/>
      <c r="X54" s="207"/>
      <c r="Y54" s="207"/>
      <c r="Z54" s="207"/>
      <c r="AA54" s="207"/>
      <c r="AB54" s="207"/>
      <c r="AC54" s="207"/>
      <c r="AD54" s="207"/>
      <c r="AE54" s="207"/>
    </row>
    <row r="55" ht="17.25" customHeight="1">
      <c r="A55" s="170"/>
      <c r="B55" s="201" t="s">
        <v>163</v>
      </c>
      <c r="C55" s="174"/>
      <c r="D55" s="174"/>
      <c r="E55" s="174"/>
      <c r="F55" s="180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89"/>
      <c r="X55" s="189"/>
      <c r="Y55" s="189"/>
      <c r="Z55" s="189"/>
      <c r="AA55" s="189"/>
      <c r="AB55" s="189"/>
      <c r="AC55" s="189"/>
      <c r="AD55" s="189"/>
      <c r="AE55" s="189"/>
    </row>
    <row r="56" ht="15.0" customHeight="1">
      <c r="A56" s="183"/>
      <c r="B56" s="203" t="s">
        <v>164</v>
      </c>
      <c r="C56" s="186"/>
      <c r="D56" s="185">
        <v>3.0</v>
      </c>
      <c r="E56" s="186"/>
      <c r="F56" s="208"/>
      <c r="G56" s="185">
        <f>SUM(G55,G54)</f>
        <v>96</v>
      </c>
      <c r="H56" s="185">
        <f t="shared" ref="H56:K56" si="30">H55+H54</f>
        <v>32</v>
      </c>
      <c r="I56" s="185">
        <f t="shared" si="30"/>
        <v>40</v>
      </c>
      <c r="J56" s="185">
        <f t="shared" si="30"/>
        <v>0</v>
      </c>
      <c r="K56" s="185">
        <f t="shared" si="30"/>
        <v>24</v>
      </c>
      <c r="L56" s="185">
        <f>SUM(L50:L53)</f>
        <v>96</v>
      </c>
      <c r="M56" s="185">
        <f t="shared" ref="M56:V56" si="31">M55+M54</f>
        <v>0</v>
      </c>
      <c r="N56" s="185">
        <f t="shared" si="31"/>
        <v>0</v>
      </c>
      <c r="O56" s="185">
        <f t="shared" si="31"/>
        <v>0</v>
      </c>
      <c r="P56" s="185">
        <f t="shared" si="31"/>
        <v>0</v>
      </c>
      <c r="Q56" s="185">
        <f t="shared" si="31"/>
        <v>96</v>
      </c>
      <c r="R56" s="185">
        <f t="shared" si="31"/>
        <v>0</v>
      </c>
      <c r="S56" s="185">
        <f t="shared" si="31"/>
        <v>0</v>
      </c>
      <c r="T56" s="185">
        <f t="shared" si="31"/>
        <v>0</v>
      </c>
      <c r="U56" s="185">
        <f t="shared" si="31"/>
        <v>0</v>
      </c>
      <c r="V56" s="185">
        <f t="shared" si="31"/>
        <v>0</v>
      </c>
      <c r="W56" s="103"/>
      <c r="X56" s="104"/>
      <c r="Y56" s="104"/>
      <c r="Z56" s="104"/>
      <c r="AA56" s="104"/>
      <c r="AB56" s="104"/>
      <c r="AC56" s="104"/>
      <c r="AD56" s="104"/>
      <c r="AE56" s="104"/>
    </row>
    <row r="57" ht="15.75" customHeight="1">
      <c r="A57" s="209"/>
      <c r="B57" s="210" t="s">
        <v>165</v>
      </c>
      <c r="C57" s="211"/>
      <c r="D57" s="211"/>
      <c r="E57" s="210"/>
      <c r="F57" s="212">
        <f>G57/24</f>
        <v>14</v>
      </c>
      <c r="G57" s="210">
        <f t="shared" ref="G57:V57" si="32">G32+G39+G48+G56</f>
        <v>336</v>
      </c>
      <c r="H57" s="210">
        <f t="shared" si="32"/>
        <v>106</v>
      </c>
      <c r="I57" s="210">
        <f t="shared" si="32"/>
        <v>154</v>
      </c>
      <c r="J57" s="210">
        <f t="shared" si="32"/>
        <v>0</v>
      </c>
      <c r="K57" s="210">
        <f t="shared" si="32"/>
        <v>76</v>
      </c>
      <c r="L57" s="210">
        <f t="shared" si="32"/>
        <v>264</v>
      </c>
      <c r="M57" s="210">
        <f t="shared" si="32"/>
        <v>0</v>
      </c>
      <c r="N57" s="210">
        <f t="shared" si="32"/>
        <v>0</v>
      </c>
      <c r="O57" s="210">
        <f t="shared" si="32"/>
        <v>0</v>
      </c>
      <c r="P57" s="210">
        <f t="shared" si="32"/>
        <v>0</v>
      </c>
      <c r="Q57" s="210">
        <f t="shared" si="32"/>
        <v>276</v>
      </c>
      <c r="R57" s="210">
        <f t="shared" si="32"/>
        <v>60</v>
      </c>
      <c r="S57" s="210">
        <f t="shared" si="32"/>
        <v>0</v>
      </c>
      <c r="T57" s="210">
        <f t="shared" si="32"/>
        <v>0</v>
      </c>
      <c r="U57" s="210">
        <f t="shared" si="32"/>
        <v>0</v>
      </c>
      <c r="V57" s="210">
        <f t="shared" si="32"/>
        <v>0</v>
      </c>
      <c r="W57" s="103"/>
      <c r="X57" s="104"/>
      <c r="Y57" s="104"/>
      <c r="Z57" s="104"/>
      <c r="AA57" s="104"/>
      <c r="AB57" s="104"/>
      <c r="AC57" s="104"/>
      <c r="AD57" s="104"/>
      <c r="AE57" s="104"/>
    </row>
    <row r="58" ht="18.0" customHeight="1">
      <c r="A58" s="213" t="s">
        <v>166</v>
      </c>
      <c r="B58" s="214" t="s">
        <v>167</v>
      </c>
      <c r="C58" s="215"/>
      <c r="D58" s="148"/>
      <c r="E58" s="150"/>
      <c r="F58" s="149"/>
      <c r="G58" s="216"/>
      <c r="H58" s="149"/>
      <c r="I58" s="149"/>
      <c r="J58" s="149"/>
      <c r="K58" s="150"/>
      <c r="L58" s="215"/>
      <c r="M58" s="149"/>
      <c r="N58" s="150"/>
      <c r="O58" s="150"/>
      <c r="P58" s="150"/>
      <c r="Q58" s="149"/>
      <c r="R58" s="149"/>
      <c r="S58" s="150"/>
      <c r="T58" s="150"/>
      <c r="U58" s="150"/>
      <c r="V58" s="150"/>
      <c r="W58" s="217">
        <f>G58*40/100</f>
        <v>0</v>
      </c>
      <c r="X58" s="104"/>
      <c r="Y58" s="104"/>
      <c r="Z58" s="104"/>
      <c r="AA58" s="104"/>
      <c r="AB58" s="104"/>
      <c r="AC58" s="104"/>
      <c r="AD58" s="104"/>
      <c r="AE58" s="104"/>
    </row>
    <row r="59" ht="29.25" customHeight="1">
      <c r="A59" s="218"/>
      <c r="B59" s="219" t="s">
        <v>168</v>
      </c>
      <c r="C59" s="220"/>
      <c r="D59" s="220">
        <v>3.0</v>
      </c>
      <c r="E59" s="168"/>
      <c r="F59" s="190">
        <f t="shared" ref="F59:F68" si="33">G59/24</f>
        <v>1.666666667</v>
      </c>
      <c r="G59" s="221">
        <f t="shared" ref="G59:G65" si="34">SUM(H59+I59+J59+K59+M59)</f>
        <v>40</v>
      </c>
      <c r="H59" s="222">
        <v>14.0</v>
      </c>
      <c r="I59" s="223">
        <v>14.0</v>
      </c>
      <c r="J59" s="220"/>
      <c r="K59" s="220">
        <v>12.0</v>
      </c>
      <c r="L59" s="220">
        <v>20.0</v>
      </c>
      <c r="M59" s="168"/>
      <c r="N59" s="168"/>
      <c r="O59" s="168"/>
      <c r="P59" s="168"/>
      <c r="Q59" s="223">
        <v>40.0</v>
      </c>
      <c r="R59" s="168"/>
      <c r="S59" s="156"/>
      <c r="T59" s="168"/>
      <c r="U59" s="156"/>
      <c r="V59" s="156"/>
      <c r="W59" s="224"/>
      <c r="X59" s="104"/>
      <c r="Y59" s="225"/>
      <c r="Z59" s="226"/>
      <c r="AA59" s="227"/>
      <c r="AB59" s="104"/>
      <c r="AC59" s="104"/>
      <c r="AD59" s="104"/>
      <c r="AE59" s="104"/>
    </row>
    <row r="60" ht="31.5" customHeight="1">
      <c r="A60" s="218"/>
      <c r="B60" s="228" t="s">
        <v>169</v>
      </c>
      <c r="C60" s="220"/>
      <c r="D60" s="220">
        <v>3.0</v>
      </c>
      <c r="E60" s="168"/>
      <c r="F60" s="190">
        <f t="shared" si="33"/>
        <v>1.666666667</v>
      </c>
      <c r="G60" s="221">
        <f t="shared" si="34"/>
        <v>40</v>
      </c>
      <c r="H60" s="222">
        <v>14.0</v>
      </c>
      <c r="I60" s="223">
        <v>14.0</v>
      </c>
      <c r="J60" s="220"/>
      <c r="K60" s="220">
        <v>12.0</v>
      </c>
      <c r="L60" s="220">
        <v>20.0</v>
      </c>
      <c r="M60" s="168"/>
      <c r="N60" s="168"/>
      <c r="O60" s="168"/>
      <c r="P60" s="168"/>
      <c r="Q60" s="223">
        <v>40.0</v>
      </c>
      <c r="R60" s="168"/>
      <c r="S60" s="156"/>
      <c r="T60" s="168"/>
      <c r="U60" s="156"/>
      <c r="V60" s="156"/>
      <c r="W60" s="224"/>
      <c r="X60" s="104"/>
      <c r="Y60" s="225"/>
      <c r="Z60" s="226"/>
      <c r="AA60" s="227"/>
      <c r="AB60" s="104"/>
      <c r="AC60" s="104"/>
      <c r="AD60" s="104"/>
      <c r="AE60" s="104"/>
    </row>
    <row r="61" ht="32.25" customHeight="1">
      <c r="A61" s="218"/>
      <c r="B61" s="228" t="s">
        <v>170</v>
      </c>
      <c r="C61" s="220"/>
      <c r="D61" s="220">
        <v>3.0</v>
      </c>
      <c r="E61" s="168"/>
      <c r="F61" s="190">
        <f t="shared" si="33"/>
        <v>1.666666667</v>
      </c>
      <c r="G61" s="221">
        <f t="shared" si="34"/>
        <v>40</v>
      </c>
      <c r="H61" s="222">
        <v>14.0</v>
      </c>
      <c r="I61" s="223">
        <v>14.0</v>
      </c>
      <c r="J61" s="220"/>
      <c r="K61" s="220">
        <v>12.0</v>
      </c>
      <c r="L61" s="220">
        <v>20.0</v>
      </c>
      <c r="M61" s="168"/>
      <c r="N61" s="168"/>
      <c r="O61" s="168"/>
      <c r="P61" s="168"/>
      <c r="Q61" s="223">
        <v>40.0</v>
      </c>
      <c r="R61" s="168"/>
      <c r="S61" s="156"/>
      <c r="T61" s="168"/>
      <c r="U61" s="156"/>
      <c r="V61" s="156"/>
      <c r="W61" s="224"/>
      <c r="X61" s="104"/>
      <c r="Y61" s="225"/>
      <c r="Z61" s="226"/>
      <c r="AA61" s="227"/>
      <c r="AB61" s="229"/>
      <c r="AC61" s="178"/>
      <c r="AD61" s="104"/>
      <c r="AE61" s="104"/>
    </row>
    <row r="62" ht="33.75" customHeight="1">
      <c r="A62" s="218"/>
      <c r="B62" s="228" t="s">
        <v>171</v>
      </c>
      <c r="C62" s="220"/>
      <c r="D62" s="220">
        <v>3.0</v>
      </c>
      <c r="E62" s="168"/>
      <c r="F62" s="190">
        <f t="shared" si="33"/>
        <v>1.75</v>
      </c>
      <c r="G62" s="221">
        <f t="shared" si="34"/>
        <v>42</v>
      </c>
      <c r="H62" s="222">
        <v>16.0</v>
      </c>
      <c r="I62" s="223">
        <v>14.0</v>
      </c>
      <c r="J62" s="220"/>
      <c r="K62" s="220">
        <v>12.0</v>
      </c>
      <c r="L62" s="220">
        <v>20.0</v>
      </c>
      <c r="M62" s="168"/>
      <c r="N62" s="168"/>
      <c r="O62" s="168"/>
      <c r="P62" s="168"/>
      <c r="Q62" s="223">
        <v>42.0</v>
      </c>
      <c r="R62" s="168"/>
      <c r="S62" s="156"/>
      <c r="T62" s="168"/>
      <c r="U62" s="156"/>
      <c r="V62" s="156"/>
      <c r="W62" s="224"/>
      <c r="X62" s="104"/>
      <c r="Y62" s="225"/>
      <c r="Z62" s="226"/>
      <c r="AA62" s="227"/>
      <c r="AB62" s="229"/>
      <c r="AC62" s="178"/>
      <c r="AD62" s="104"/>
      <c r="AE62" s="104"/>
    </row>
    <row r="63" ht="60.75" customHeight="1">
      <c r="A63" s="218"/>
      <c r="B63" s="228" t="s">
        <v>172</v>
      </c>
      <c r="C63" s="220"/>
      <c r="D63" s="220">
        <v>3.0</v>
      </c>
      <c r="E63" s="168"/>
      <c r="F63" s="190">
        <f t="shared" si="33"/>
        <v>1.75</v>
      </c>
      <c r="G63" s="221">
        <f t="shared" si="34"/>
        <v>42</v>
      </c>
      <c r="H63" s="222">
        <v>16.0</v>
      </c>
      <c r="I63" s="223">
        <v>14.0</v>
      </c>
      <c r="J63" s="220"/>
      <c r="K63" s="220">
        <v>12.0</v>
      </c>
      <c r="L63" s="220">
        <v>20.0</v>
      </c>
      <c r="M63" s="168"/>
      <c r="N63" s="168"/>
      <c r="O63" s="168"/>
      <c r="P63" s="168"/>
      <c r="Q63" s="223">
        <v>42.0</v>
      </c>
      <c r="R63" s="168"/>
      <c r="S63" s="156"/>
      <c r="T63" s="168"/>
      <c r="U63" s="156"/>
      <c r="V63" s="156"/>
      <c r="W63" s="224"/>
      <c r="X63" s="104"/>
      <c r="Y63" s="225"/>
      <c r="Z63" s="226"/>
      <c r="AA63" s="227"/>
      <c r="AB63" s="229"/>
      <c r="AC63" s="178"/>
      <c r="AD63" s="104"/>
      <c r="AE63" s="104"/>
    </row>
    <row r="64" ht="33.75" customHeight="1">
      <c r="A64" s="218"/>
      <c r="B64" s="228" t="s">
        <v>173</v>
      </c>
      <c r="C64" s="220"/>
      <c r="D64" s="220">
        <v>3.0</v>
      </c>
      <c r="E64" s="168"/>
      <c r="F64" s="190">
        <f t="shared" si="33"/>
        <v>1.75</v>
      </c>
      <c r="G64" s="221">
        <f t="shared" si="34"/>
        <v>42</v>
      </c>
      <c r="H64" s="222">
        <v>16.0</v>
      </c>
      <c r="I64" s="223">
        <v>14.0</v>
      </c>
      <c r="J64" s="220"/>
      <c r="K64" s="220">
        <v>12.0</v>
      </c>
      <c r="L64" s="220">
        <v>20.0</v>
      </c>
      <c r="M64" s="168"/>
      <c r="N64" s="168"/>
      <c r="O64" s="168"/>
      <c r="P64" s="168"/>
      <c r="Q64" s="223">
        <v>42.0</v>
      </c>
      <c r="R64" s="220"/>
      <c r="S64" s="156"/>
      <c r="T64" s="168"/>
      <c r="U64" s="156"/>
      <c r="V64" s="156"/>
      <c r="W64" s="230"/>
      <c r="X64" s="104"/>
      <c r="Y64" s="225"/>
      <c r="Z64" s="231"/>
      <c r="AA64" s="227"/>
      <c r="AB64" s="104"/>
      <c r="AC64" s="104"/>
      <c r="AD64" s="104"/>
      <c r="AE64" s="104"/>
    </row>
    <row r="65" ht="30.75" customHeight="1">
      <c r="A65" s="218"/>
      <c r="B65" s="228" t="s">
        <v>174</v>
      </c>
      <c r="C65" s="220"/>
      <c r="D65" s="220">
        <v>4.0</v>
      </c>
      <c r="E65" s="168"/>
      <c r="F65" s="190">
        <f t="shared" si="33"/>
        <v>1.75</v>
      </c>
      <c r="G65" s="221">
        <f t="shared" si="34"/>
        <v>42</v>
      </c>
      <c r="H65" s="222">
        <v>16.0</v>
      </c>
      <c r="I65" s="223">
        <v>14.0</v>
      </c>
      <c r="J65" s="220"/>
      <c r="K65" s="220">
        <v>12.0</v>
      </c>
      <c r="L65" s="220">
        <v>20.0</v>
      </c>
      <c r="M65" s="168"/>
      <c r="N65" s="168"/>
      <c r="O65" s="168"/>
      <c r="P65" s="168"/>
      <c r="Q65" s="223"/>
      <c r="R65" s="220">
        <v>42.0</v>
      </c>
      <c r="S65" s="156"/>
      <c r="T65" s="168"/>
      <c r="U65" s="156"/>
      <c r="V65" s="156"/>
      <c r="W65" s="230"/>
      <c r="X65" s="104"/>
      <c r="Y65" s="225"/>
      <c r="Z65" s="231"/>
      <c r="AA65" s="227"/>
      <c r="AB65" s="104"/>
      <c r="AC65" s="104"/>
      <c r="AD65" s="104"/>
      <c r="AE65" s="104"/>
    </row>
    <row r="66" ht="18.0" customHeight="1">
      <c r="A66" s="170"/>
      <c r="B66" s="200" t="s">
        <v>138</v>
      </c>
      <c r="C66" s="232"/>
      <c r="D66" s="172"/>
      <c r="E66" s="232"/>
      <c r="F66" s="175">
        <f t="shared" si="33"/>
        <v>12</v>
      </c>
      <c r="G66" s="176">
        <f t="shared" ref="G66:V66" si="35">SUM(G59:G65)</f>
        <v>288</v>
      </c>
      <c r="H66" s="176">
        <f t="shared" si="35"/>
        <v>106</v>
      </c>
      <c r="I66" s="176">
        <f t="shared" si="35"/>
        <v>98</v>
      </c>
      <c r="J66" s="176">
        <f t="shared" si="35"/>
        <v>0</v>
      </c>
      <c r="K66" s="176">
        <f t="shared" si="35"/>
        <v>84</v>
      </c>
      <c r="L66" s="176">
        <f t="shared" si="35"/>
        <v>140</v>
      </c>
      <c r="M66" s="176">
        <f t="shared" si="35"/>
        <v>0</v>
      </c>
      <c r="N66" s="176">
        <f t="shared" si="35"/>
        <v>0</v>
      </c>
      <c r="O66" s="176">
        <f t="shared" si="35"/>
        <v>0</v>
      </c>
      <c r="P66" s="176">
        <f t="shared" si="35"/>
        <v>0</v>
      </c>
      <c r="Q66" s="176">
        <f t="shared" si="35"/>
        <v>246</v>
      </c>
      <c r="R66" s="176">
        <f t="shared" si="35"/>
        <v>42</v>
      </c>
      <c r="S66" s="176">
        <f t="shared" si="35"/>
        <v>0</v>
      </c>
      <c r="T66" s="176">
        <f t="shared" si="35"/>
        <v>0</v>
      </c>
      <c r="U66" s="176">
        <f t="shared" si="35"/>
        <v>0</v>
      </c>
      <c r="V66" s="176">
        <f t="shared" si="35"/>
        <v>0</v>
      </c>
      <c r="W66" s="224"/>
      <c r="X66" s="104"/>
      <c r="Y66" s="233"/>
      <c r="Z66" s="231"/>
      <c r="AA66" s="104"/>
      <c r="AB66" s="104"/>
      <c r="AC66" s="104"/>
      <c r="AD66" s="104"/>
      <c r="AE66" s="104"/>
    </row>
    <row r="67" ht="18.0" customHeight="1">
      <c r="A67" s="170"/>
      <c r="B67" s="234" t="s">
        <v>175</v>
      </c>
      <c r="C67" s="235"/>
      <c r="D67" s="172"/>
      <c r="E67" s="232"/>
      <c r="F67" s="175">
        <f t="shared" si="33"/>
        <v>8</v>
      </c>
      <c r="G67" s="176">
        <f>SUM(M59:M67)</f>
        <v>192</v>
      </c>
      <c r="H67" s="232"/>
      <c r="I67" s="232"/>
      <c r="J67" s="232"/>
      <c r="K67" s="232"/>
      <c r="L67" s="232"/>
      <c r="M67" s="177">
        <f>SUM(O67:V67)</f>
        <v>192</v>
      </c>
      <c r="N67" s="177"/>
      <c r="O67" s="177"/>
      <c r="P67" s="177"/>
      <c r="Q67" s="236"/>
      <c r="R67" s="237">
        <v>192.0</v>
      </c>
      <c r="S67" s="177"/>
      <c r="T67" s="177"/>
      <c r="U67" s="177"/>
      <c r="V67" s="177"/>
      <c r="W67" s="238"/>
      <c r="X67" s="104"/>
      <c r="Y67" s="225"/>
      <c r="Z67" s="231"/>
      <c r="AA67" s="104"/>
      <c r="AB67" s="104"/>
      <c r="AC67" s="104"/>
      <c r="AD67" s="104"/>
      <c r="AE67" s="104"/>
    </row>
    <row r="68" ht="18.0" customHeight="1">
      <c r="A68" s="183"/>
      <c r="B68" s="203" t="s">
        <v>176</v>
      </c>
      <c r="C68" s="239">
        <v>4.0</v>
      </c>
      <c r="D68" s="185"/>
      <c r="E68" s="240"/>
      <c r="F68" s="187">
        <f t="shared" si="33"/>
        <v>20</v>
      </c>
      <c r="G68" s="185">
        <f t="shared" ref="G68:K68" si="36">SUM(G66:G67)</f>
        <v>480</v>
      </c>
      <c r="H68" s="185">
        <f t="shared" si="36"/>
        <v>106</v>
      </c>
      <c r="I68" s="185">
        <f t="shared" si="36"/>
        <v>98</v>
      </c>
      <c r="J68" s="185">
        <f t="shared" si="36"/>
        <v>0</v>
      </c>
      <c r="K68" s="185">
        <f t="shared" si="36"/>
        <v>84</v>
      </c>
      <c r="L68" s="185">
        <f>SUM(L59:L65)</f>
        <v>140</v>
      </c>
      <c r="M68" s="185">
        <f t="shared" ref="M68:N68" si="37">SUM(M59:M67)</f>
        <v>192</v>
      </c>
      <c r="N68" s="185">
        <f t="shared" si="37"/>
        <v>0</v>
      </c>
      <c r="O68" s="185">
        <f t="shared" ref="O68:V68" si="38">SUM(O66:O67)</f>
        <v>0</v>
      </c>
      <c r="P68" s="185">
        <f t="shared" si="38"/>
        <v>0</v>
      </c>
      <c r="Q68" s="185">
        <f t="shared" si="38"/>
        <v>246</v>
      </c>
      <c r="R68" s="185">
        <f t="shared" si="38"/>
        <v>234</v>
      </c>
      <c r="S68" s="185">
        <f t="shared" si="38"/>
        <v>0</v>
      </c>
      <c r="T68" s="185">
        <f t="shared" si="38"/>
        <v>0</v>
      </c>
      <c r="U68" s="185">
        <f t="shared" si="38"/>
        <v>0</v>
      </c>
      <c r="V68" s="185">
        <f t="shared" si="38"/>
        <v>0</v>
      </c>
      <c r="W68" s="103"/>
      <c r="X68" s="104"/>
      <c r="Y68" s="104"/>
      <c r="Z68" s="104"/>
      <c r="AA68" s="104"/>
      <c r="AB68" s="104"/>
      <c r="AC68" s="104"/>
      <c r="AD68" s="104"/>
      <c r="AE68" s="104"/>
    </row>
    <row r="69" ht="27.0" customHeight="1">
      <c r="A69" s="213" t="s">
        <v>177</v>
      </c>
      <c r="B69" s="241" t="s">
        <v>178</v>
      </c>
      <c r="C69" s="149"/>
      <c r="D69" s="149"/>
      <c r="E69" s="148"/>
      <c r="F69" s="242"/>
      <c r="G69" s="243"/>
      <c r="H69" s="149"/>
      <c r="I69" s="149"/>
      <c r="J69" s="149"/>
      <c r="K69" s="148"/>
      <c r="L69" s="216"/>
      <c r="M69" s="149"/>
      <c r="N69" s="148"/>
      <c r="O69" s="148"/>
      <c r="P69" s="148"/>
      <c r="Q69" s="149"/>
      <c r="R69" s="149"/>
      <c r="S69" s="148"/>
      <c r="T69" s="148"/>
      <c r="U69" s="148"/>
      <c r="V69" s="148"/>
      <c r="W69" s="178">
        <f>G69*40/100</f>
        <v>0</v>
      </c>
      <c r="X69" s="104"/>
      <c r="Y69" s="104"/>
      <c r="Z69" s="104"/>
      <c r="AA69" s="104"/>
      <c r="AB69" s="104"/>
      <c r="AC69" s="104"/>
      <c r="AD69" s="104"/>
      <c r="AE69" s="104"/>
    </row>
    <row r="70" ht="28.5" customHeight="1">
      <c r="A70" s="218"/>
      <c r="B70" s="244" t="s">
        <v>179</v>
      </c>
      <c r="C70" s="223"/>
      <c r="D70" s="223">
        <v>3.0</v>
      </c>
      <c r="E70" s="168"/>
      <c r="F70" s="190">
        <f t="shared" ref="F70:F79" si="39">G70/24</f>
        <v>1.666666667</v>
      </c>
      <c r="G70" s="221">
        <f t="shared" ref="G70:G76" si="40">SUM(H70+I70+J70+K70+M70)</f>
        <v>40</v>
      </c>
      <c r="H70" s="222">
        <v>14.0</v>
      </c>
      <c r="I70" s="220">
        <v>12.0</v>
      </c>
      <c r="J70" s="220">
        <v>2.0</v>
      </c>
      <c r="K70" s="220">
        <v>12.0</v>
      </c>
      <c r="L70" s="220">
        <v>20.0</v>
      </c>
      <c r="M70" s="168"/>
      <c r="N70" s="168"/>
      <c r="O70" s="168"/>
      <c r="P70" s="168"/>
      <c r="Q70" s="223">
        <v>40.0</v>
      </c>
      <c r="R70" s="245"/>
      <c r="S70" s="156"/>
      <c r="T70" s="168"/>
      <c r="U70" s="156"/>
      <c r="V70" s="156"/>
      <c r="W70" s="224"/>
      <c r="X70" s="104"/>
      <c r="Y70" s="225"/>
      <c r="Z70" s="246"/>
      <c r="AA70" s="104"/>
      <c r="AB70" s="104"/>
      <c r="AC70" s="104"/>
      <c r="AD70" s="104"/>
      <c r="AE70" s="104"/>
    </row>
    <row r="71" ht="29.25" customHeight="1">
      <c r="A71" s="218"/>
      <c r="B71" s="247" t="s">
        <v>180</v>
      </c>
      <c r="C71" s="223"/>
      <c r="D71" s="223">
        <v>3.0</v>
      </c>
      <c r="E71" s="168"/>
      <c r="F71" s="190">
        <f t="shared" si="39"/>
        <v>1.666666667</v>
      </c>
      <c r="G71" s="221">
        <f t="shared" si="40"/>
        <v>40</v>
      </c>
      <c r="H71" s="222">
        <v>14.0</v>
      </c>
      <c r="I71" s="220">
        <v>12.0</v>
      </c>
      <c r="J71" s="220">
        <v>2.0</v>
      </c>
      <c r="K71" s="220">
        <v>12.0</v>
      </c>
      <c r="L71" s="220">
        <v>20.0</v>
      </c>
      <c r="M71" s="168"/>
      <c r="N71" s="168"/>
      <c r="O71" s="168"/>
      <c r="P71" s="168"/>
      <c r="Q71" s="223">
        <v>38.0</v>
      </c>
      <c r="R71" s="223">
        <v>2.0</v>
      </c>
      <c r="S71" s="156"/>
      <c r="T71" s="168"/>
      <c r="U71" s="156"/>
      <c r="V71" s="156"/>
      <c r="W71" s="224"/>
      <c r="X71" s="104"/>
      <c r="Y71" s="225"/>
      <c r="Z71" s="233"/>
      <c r="AA71" s="104"/>
      <c r="AB71" s="104"/>
      <c r="AC71" s="104"/>
      <c r="AD71" s="104"/>
      <c r="AE71" s="104"/>
    </row>
    <row r="72" ht="30.75" customHeight="1">
      <c r="A72" s="218"/>
      <c r="B72" s="247" t="s">
        <v>181</v>
      </c>
      <c r="C72" s="223"/>
      <c r="D72" s="223">
        <v>3.4</v>
      </c>
      <c r="E72" s="168"/>
      <c r="F72" s="190">
        <f t="shared" si="39"/>
        <v>1.666666667</v>
      </c>
      <c r="G72" s="221">
        <f t="shared" si="40"/>
        <v>40</v>
      </c>
      <c r="H72" s="222">
        <v>12.0</v>
      </c>
      <c r="I72" s="220">
        <v>12.0</v>
      </c>
      <c r="J72" s="220">
        <v>4.0</v>
      </c>
      <c r="K72" s="220">
        <v>12.0</v>
      </c>
      <c r="L72" s="220">
        <v>20.0</v>
      </c>
      <c r="M72" s="168"/>
      <c r="N72" s="168"/>
      <c r="O72" s="168"/>
      <c r="P72" s="168"/>
      <c r="Q72" s="223"/>
      <c r="R72" s="223">
        <v>40.0</v>
      </c>
      <c r="S72" s="156"/>
      <c r="T72" s="168"/>
      <c r="U72" s="156"/>
      <c r="V72" s="156"/>
      <c r="W72" s="224"/>
      <c r="X72" s="104"/>
      <c r="Y72" s="225"/>
      <c r="Z72" s="225"/>
      <c r="AA72" s="104"/>
      <c r="AB72" s="104"/>
      <c r="AC72" s="104"/>
      <c r="AD72" s="104"/>
      <c r="AE72" s="104"/>
    </row>
    <row r="73" ht="28.5" customHeight="1">
      <c r="A73" s="218"/>
      <c r="B73" s="247" t="s">
        <v>182</v>
      </c>
      <c r="C73" s="223"/>
      <c r="D73" s="223">
        <v>4.0</v>
      </c>
      <c r="E73" s="168"/>
      <c r="F73" s="190">
        <f t="shared" si="39"/>
        <v>1.75</v>
      </c>
      <c r="G73" s="221">
        <f t="shared" si="40"/>
        <v>42</v>
      </c>
      <c r="H73" s="222">
        <v>14.0</v>
      </c>
      <c r="I73" s="220">
        <v>12.0</v>
      </c>
      <c r="J73" s="220">
        <v>4.0</v>
      </c>
      <c r="K73" s="220">
        <v>12.0</v>
      </c>
      <c r="L73" s="220">
        <v>20.0</v>
      </c>
      <c r="M73" s="168"/>
      <c r="N73" s="168"/>
      <c r="O73" s="168"/>
      <c r="P73" s="168"/>
      <c r="Q73" s="223"/>
      <c r="R73" s="223">
        <v>42.0</v>
      </c>
      <c r="S73" s="156"/>
      <c r="T73" s="168"/>
      <c r="U73" s="156"/>
      <c r="V73" s="156"/>
      <c r="W73" s="248"/>
      <c r="X73" s="104"/>
      <c r="Y73" s="225"/>
      <c r="Z73" s="225"/>
      <c r="AA73" s="104"/>
      <c r="AB73" s="104"/>
      <c r="AC73" s="104"/>
      <c r="AD73" s="104"/>
      <c r="AE73" s="104"/>
    </row>
    <row r="74" ht="30.75" customHeight="1">
      <c r="A74" s="218"/>
      <c r="B74" s="247" t="s">
        <v>183</v>
      </c>
      <c r="C74" s="223"/>
      <c r="D74" s="223">
        <v>4.0</v>
      </c>
      <c r="E74" s="168"/>
      <c r="F74" s="190">
        <f t="shared" si="39"/>
        <v>1.75</v>
      </c>
      <c r="G74" s="221">
        <f t="shared" si="40"/>
        <v>42</v>
      </c>
      <c r="H74" s="222">
        <v>14.0</v>
      </c>
      <c r="I74" s="220">
        <v>12.0</v>
      </c>
      <c r="J74" s="220">
        <v>4.0</v>
      </c>
      <c r="K74" s="220">
        <v>12.0</v>
      </c>
      <c r="L74" s="220">
        <v>20.0</v>
      </c>
      <c r="M74" s="168"/>
      <c r="N74" s="168"/>
      <c r="O74" s="168"/>
      <c r="P74" s="168"/>
      <c r="Q74" s="223"/>
      <c r="R74" s="223">
        <v>42.0</v>
      </c>
      <c r="S74" s="156"/>
      <c r="T74" s="168"/>
      <c r="U74" s="156"/>
      <c r="V74" s="156"/>
      <c r="W74" s="224"/>
      <c r="X74" s="104"/>
      <c r="Y74" s="225"/>
      <c r="Z74" s="225"/>
      <c r="AA74" s="104"/>
      <c r="AB74" s="104"/>
      <c r="AC74" s="104"/>
      <c r="AD74" s="104"/>
      <c r="AE74" s="104"/>
    </row>
    <row r="75" ht="28.5" customHeight="1">
      <c r="A75" s="218"/>
      <c r="B75" s="247" t="s">
        <v>184</v>
      </c>
      <c r="C75" s="223"/>
      <c r="D75" s="223">
        <v>4.0</v>
      </c>
      <c r="E75" s="168"/>
      <c r="F75" s="190">
        <f t="shared" si="39"/>
        <v>1.75</v>
      </c>
      <c r="G75" s="221">
        <f t="shared" si="40"/>
        <v>42</v>
      </c>
      <c r="H75" s="222">
        <v>14.0</v>
      </c>
      <c r="I75" s="220">
        <v>12.0</v>
      </c>
      <c r="J75" s="220">
        <v>4.0</v>
      </c>
      <c r="K75" s="220">
        <v>12.0</v>
      </c>
      <c r="L75" s="220">
        <v>20.0</v>
      </c>
      <c r="M75" s="168"/>
      <c r="N75" s="168"/>
      <c r="O75" s="168"/>
      <c r="P75" s="168"/>
      <c r="Q75" s="245"/>
      <c r="R75" s="223">
        <v>42.0</v>
      </c>
      <c r="S75" s="156"/>
      <c r="T75" s="168"/>
      <c r="U75" s="156"/>
      <c r="V75" s="156"/>
      <c r="W75" s="224"/>
      <c r="X75" s="104"/>
      <c r="Y75" s="246"/>
      <c r="Z75" s="225"/>
      <c r="AA75" s="104"/>
      <c r="AB75" s="104"/>
      <c r="AC75" s="104"/>
      <c r="AD75" s="104"/>
      <c r="AE75" s="104"/>
    </row>
    <row r="76" ht="28.5" customHeight="1">
      <c r="A76" s="218"/>
      <c r="B76" s="247" t="s">
        <v>185</v>
      </c>
      <c r="C76" s="223"/>
      <c r="D76" s="223">
        <v>4.0</v>
      </c>
      <c r="E76" s="168"/>
      <c r="F76" s="190">
        <f t="shared" si="39"/>
        <v>1.75</v>
      </c>
      <c r="G76" s="221">
        <f t="shared" si="40"/>
        <v>42</v>
      </c>
      <c r="H76" s="222">
        <v>14.0</v>
      </c>
      <c r="I76" s="220">
        <v>12.0</v>
      </c>
      <c r="J76" s="220">
        <v>4.0</v>
      </c>
      <c r="K76" s="220">
        <v>12.0</v>
      </c>
      <c r="L76" s="220">
        <v>20.0</v>
      </c>
      <c r="M76" s="168"/>
      <c r="N76" s="168"/>
      <c r="O76" s="168"/>
      <c r="P76" s="168"/>
      <c r="Q76" s="245"/>
      <c r="R76" s="223">
        <v>42.0</v>
      </c>
      <c r="S76" s="156"/>
      <c r="T76" s="168"/>
      <c r="U76" s="156"/>
      <c r="V76" s="156"/>
      <c r="W76" s="224"/>
      <c r="X76" s="104"/>
      <c r="Y76" s="246"/>
      <c r="Z76" s="225"/>
      <c r="AA76" s="104"/>
      <c r="AB76" s="104"/>
      <c r="AC76" s="104"/>
      <c r="AD76" s="104"/>
      <c r="AE76" s="104"/>
    </row>
    <row r="77" ht="19.5" customHeight="1">
      <c r="A77" s="170"/>
      <c r="B77" s="200" t="s">
        <v>138</v>
      </c>
      <c r="C77" s="232"/>
      <c r="D77" s="232"/>
      <c r="E77" s="232"/>
      <c r="F77" s="193">
        <f t="shared" si="39"/>
        <v>12</v>
      </c>
      <c r="G77" s="176">
        <f t="shared" ref="G77:V77" si="41">SUM(G70:G76)</f>
        <v>288</v>
      </c>
      <c r="H77" s="176">
        <f t="shared" si="41"/>
        <v>96</v>
      </c>
      <c r="I77" s="176">
        <f t="shared" si="41"/>
        <v>84</v>
      </c>
      <c r="J77" s="176">
        <f t="shared" si="41"/>
        <v>24</v>
      </c>
      <c r="K77" s="176">
        <f t="shared" si="41"/>
        <v>84</v>
      </c>
      <c r="L77" s="176">
        <f t="shared" si="41"/>
        <v>140</v>
      </c>
      <c r="M77" s="176">
        <f t="shared" si="41"/>
        <v>0</v>
      </c>
      <c r="N77" s="176">
        <f t="shared" si="41"/>
        <v>0</v>
      </c>
      <c r="O77" s="176">
        <f t="shared" si="41"/>
        <v>0</v>
      </c>
      <c r="P77" s="176">
        <f t="shared" si="41"/>
        <v>0</v>
      </c>
      <c r="Q77" s="176">
        <f t="shared" si="41"/>
        <v>78</v>
      </c>
      <c r="R77" s="176">
        <f t="shared" si="41"/>
        <v>210</v>
      </c>
      <c r="S77" s="176">
        <f t="shared" si="41"/>
        <v>0</v>
      </c>
      <c r="T77" s="176">
        <f t="shared" si="41"/>
        <v>0</v>
      </c>
      <c r="U77" s="176">
        <f t="shared" si="41"/>
        <v>0</v>
      </c>
      <c r="V77" s="176">
        <f t="shared" si="41"/>
        <v>0</v>
      </c>
      <c r="W77" s="224"/>
      <c r="X77" s="104"/>
      <c r="Y77" s="226"/>
      <c r="Z77" s="233"/>
      <c r="AA77" s="104"/>
      <c r="AB77" s="104"/>
      <c r="AC77" s="104"/>
      <c r="AD77" s="104"/>
      <c r="AE77" s="104"/>
    </row>
    <row r="78" ht="19.5" customHeight="1">
      <c r="A78" s="170"/>
      <c r="B78" s="249" t="s">
        <v>186</v>
      </c>
      <c r="C78" s="235"/>
      <c r="D78" s="232"/>
      <c r="E78" s="232"/>
      <c r="F78" s="193">
        <f t="shared" si="39"/>
        <v>8</v>
      </c>
      <c r="G78" s="176">
        <f>SUM(M70:M78)</f>
        <v>192</v>
      </c>
      <c r="H78" s="177"/>
      <c r="I78" s="177"/>
      <c r="J78" s="177"/>
      <c r="K78" s="177"/>
      <c r="L78" s="177"/>
      <c r="M78" s="177">
        <f>SUM(O78:V78)</f>
        <v>192</v>
      </c>
      <c r="N78" s="177"/>
      <c r="O78" s="177"/>
      <c r="P78" s="177"/>
      <c r="Q78" s="177"/>
      <c r="R78" s="236">
        <v>192.0</v>
      </c>
      <c r="S78" s="232"/>
      <c r="T78" s="232"/>
      <c r="U78" s="232"/>
      <c r="V78" s="232"/>
      <c r="W78" s="224"/>
      <c r="X78" s="104"/>
      <c r="Y78" s="226"/>
      <c r="Z78" s="225"/>
      <c r="AA78" s="104"/>
      <c r="AB78" s="104"/>
      <c r="AC78" s="104"/>
      <c r="AD78" s="104"/>
      <c r="AE78" s="104"/>
    </row>
    <row r="79" ht="19.5" customHeight="1">
      <c r="A79" s="183"/>
      <c r="B79" s="203" t="s">
        <v>187</v>
      </c>
      <c r="C79" s="240">
        <v>4.0</v>
      </c>
      <c r="D79" s="240"/>
      <c r="E79" s="240"/>
      <c r="F79" s="187">
        <f t="shared" si="39"/>
        <v>20</v>
      </c>
      <c r="G79" s="185">
        <f t="shared" ref="G79:V79" si="42">SUM(G77:G78)</f>
        <v>480</v>
      </c>
      <c r="H79" s="185">
        <f t="shared" si="42"/>
        <v>96</v>
      </c>
      <c r="I79" s="185">
        <f t="shared" si="42"/>
        <v>84</v>
      </c>
      <c r="J79" s="185">
        <f t="shared" si="42"/>
        <v>24</v>
      </c>
      <c r="K79" s="185">
        <f t="shared" si="42"/>
        <v>84</v>
      </c>
      <c r="L79" s="185">
        <f t="shared" si="42"/>
        <v>140</v>
      </c>
      <c r="M79" s="185">
        <f t="shared" si="42"/>
        <v>192</v>
      </c>
      <c r="N79" s="185">
        <f t="shared" si="42"/>
        <v>0</v>
      </c>
      <c r="O79" s="185">
        <f t="shared" si="42"/>
        <v>0</v>
      </c>
      <c r="P79" s="185">
        <f t="shared" si="42"/>
        <v>0</v>
      </c>
      <c r="Q79" s="185">
        <f t="shared" si="42"/>
        <v>78</v>
      </c>
      <c r="R79" s="185">
        <f t="shared" si="42"/>
        <v>402</v>
      </c>
      <c r="S79" s="185">
        <f t="shared" si="42"/>
        <v>0</v>
      </c>
      <c r="T79" s="185">
        <f t="shared" si="42"/>
        <v>0</v>
      </c>
      <c r="U79" s="185">
        <f t="shared" si="42"/>
        <v>0</v>
      </c>
      <c r="V79" s="185">
        <f t="shared" si="42"/>
        <v>0</v>
      </c>
      <c r="W79" s="178"/>
      <c r="X79" s="104"/>
      <c r="Y79" s="104"/>
      <c r="Z79" s="104"/>
      <c r="AA79" s="104"/>
      <c r="AB79" s="104"/>
      <c r="AC79" s="104"/>
      <c r="AD79" s="104"/>
      <c r="AE79" s="104"/>
    </row>
    <row r="80" ht="19.5" customHeight="1">
      <c r="A80" s="213" t="s">
        <v>188</v>
      </c>
      <c r="B80" s="250" t="s">
        <v>189</v>
      </c>
      <c r="C80" s="149"/>
      <c r="D80" s="149"/>
      <c r="E80" s="150"/>
      <c r="F80" s="149"/>
      <c r="G80" s="243"/>
      <c r="H80" s="149"/>
      <c r="I80" s="149"/>
      <c r="J80" s="149"/>
      <c r="K80" s="150"/>
      <c r="L80" s="215"/>
      <c r="M80" s="149"/>
      <c r="N80" s="150"/>
      <c r="O80" s="150"/>
      <c r="P80" s="150"/>
      <c r="Q80" s="150"/>
      <c r="R80" s="150"/>
      <c r="S80" s="149"/>
      <c r="T80" s="149"/>
      <c r="U80" s="149"/>
      <c r="V80" s="149"/>
      <c r="W80" s="217">
        <f>G80*40/100</f>
        <v>0</v>
      </c>
      <c r="X80" s="104"/>
      <c r="Y80" s="104"/>
      <c r="Z80" s="104"/>
      <c r="AA80" s="104"/>
      <c r="AB80" s="104"/>
      <c r="AC80" s="104"/>
      <c r="AD80" s="104"/>
      <c r="AE80" s="104"/>
    </row>
    <row r="81" ht="48.0" customHeight="1">
      <c r="A81" s="251"/>
      <c r="B81" s="244" t="s">
        <v>190</v>
      </c>
      <c r="C81" s="223"/>
      <c r="D81" s="223">
        <v>4.0</v>
      </c>
      <c r="E81" s="168"/>
      <c r="F81" s="190">
        <f t="shared" ref="F81:F90" si="43">G81/24</f>
        <v>1.666666667</v>
      </c>
      <c r="G81" s="221">
        <f t="shared" ref="G81:G87" si="44">SUM(H81+I81+J81+K81+M81)</f>
        <v>40</v>
      </c>
      <c r="H81" s="222">
        <v>14.0</v>
      </c>
      <c r="I81" s="223">
        <v>14.0</v>
      </c>
      <c r="J81" s="168"/>
      <c r="K81" s="220">
        <v>12.0</v>
      </c>
      <c r="L81" s="220">
        <v>20.0</v>
      </c>
      <c r="M81" s="168"/>
      <c r="N81" s="168"/>
      <c r="O81" s="168"/>
      <c r="P81" s="168"/>
      <c r="Q81" s="168"/>
      <c r="R81" s="220">
        <v>40.0</v>
      </c>
      <c r="S81" s="223"/>
      <c r="T81" s="164"/>
      <c r="U81" s="168"/>
      <c r="V81" s="156"/>
      <c r="W81" s="178"/>
      <c r="X81" s="104"/>
      <c r="Y81" s="104"/>
      <c r="Z81" s="231"/>
      <c r="AA81" s="225"/>
      <c r="AB81" s="233"/>
      <c r="AC81" s="104"/>
      <c r="AD81" s="104"/>
      <c r="AE81" s="104"/>
    </row>
    <row r="82" ht="29.25" customHeight="1">
      <c r="A82" s="251"/>
      <c r="B82" s="247" t="s">
        <v>191</v>
      </c>
      <c r="C82" s="223"/>
      <c r="D82" s="223">
        <v>4.0</v>
      </c>
      <c r="E82" s="168"/>
      <c r="F82" s="190">
        <f t="shared" si="43"/>
        <v>1.666666667</v>
      </c>
      <c r="G82" s="221">
        <f t="shared" si="44"/>
        <v>40</v>
      </c>
      <c r="H82" s="222">
        <v>14.0</v>
      </c>
      <c r="I82" s="223">
        <v>14.0</v>
      </c>
      <c r="J82" s="168"/>
      <c r="K82" s="220">
        <v>12.0</v>
      </c>
      <c r="L82" s="220">
        <v>20.0</v>
      </c>
      <c r="M82" s="168"/>
      <c r="N82" s="168"/>
      <c r="O82" s="168"/>
      <c r="P82" s="168"/>
      <c r="Q82" s="168"/>
      <c r="R82" s="220">
        <v>40.0</v>
      </c>
      <c r="S82" s="223"/>
      <c r="T82" s="164"/>
      <c r="U82" s="168"/>
      <c r="V82" s="156"/>
      <c r="W82" s="103"/>
      <c r="X82" s="104"/>
      <c r="Y82" s="104"/>
      <c r="Z82" s="231"/>
      <c r="AA82" s="225"/>
      <c r="AB82" s="233"/>
      <c r="AC82" s="104"/>
      <c r="AD82" s="104"/>
      <c r="AE82" s="104"/>
    </row>
    <row r="83" ht="22.5" customHeight="1">
      <c r="A83" s="251"/>
      <c r="B83" s="247" t="s">
        <v>192</v>
      </c>
      <c r="C83" s="223"/>
      <c r="D83" s="223">
        <v>4.0</v>
      </c>
      <c r="E83" s="168"/>
      <c r="F83" s="190">
        <f t="shared" si="43"/>
        <v>1.666666667</v>
      </c>
      <c r="G83" s="221">
        <f t="shared" si="44"/>
        <v>40</v>
      </c>
      <c r="H83" s="222">
        <v>14.0</v>
      </c>
      <c r="I83" s="223">
        <v>14.0</v>
      </c>
      <c r="J83" s="168"/>
      <c r="K83" s="220">
        <v>12.0</v>
      </c>
      <c r="L83" s="220">
        <v>20.0</v>
      </c>
      <c r="M83" s="168"/>
      <c r="N83" s="168"/>
      <c r="O83" s="168"/>
      <c r="P83" s="168"/>
      <c r="Q83" s="168"/>
      <c r="R83" s="220">
        <v>40.0</v>
      </c>
      <c r="S83" s="223"/>
      <c r="T83" s="164"/>
      <c r="U83" s="168"/>
      <c r="V83" s="156"/>
      <c r="W83" s="103"/>
      <c r="X83" s="104"/>
      <c r="Y83" s="104"/>
      <c r="Z83" s="231"/>
      <c r="AA83" s="225"/>
      <c r="AB83" s="233"/>
      <c r="AC83" s="104"/>
      <c r="AD83" s="104"/>
      <c r="AE83" s="104"/>
    </row>
    <row r="84" ht="24.0" customHeight="1">
      <c r="A84" s="251"/>
      <c r="B84" s="247" t="s">
        <v>193</v>
      </c>
      <c r="C84" s="223"/>
      <c r="D84" s="223">
        <v>5.0</v>
      </c>
      <c r="E84" s="168"/>
      <c r="F84" s="190">
        <f t="shared" si="43"/>
        <v>1.75</v>
      </c>
      <c r="G84" s="221">
        <f t="shared" si="44"/>
        <v>42</v>
      </c>
      <c r="H84" s="222">
        <v>16.0</v>
      </c>
      <c r="I84" s="223">
        <v>14.0</v>
      </c>
      <c r="J84" s="168"/>
      <c r="K84" s="220">
        <v>12.0</v>
      </c>
      <c r="L84" s="220">
        <v>20.0</v>
      </c>
      <c r="M84" s="168"/>
      <c r="N84" s="168"/>
      <c r="O84" s="168"/>
      <c r="P84" s="168"/>
      <c r="Q84" s="168"/>
      <c r="R84" s="220"/>
      <c r="S84" s="223">
        <v>42.0</v>
      </c>
      <c r="T84" s="164"/>
      <c r="U84" s="168"/>
      <c r="V84" s="156"/>
      <c r="W84" s="103"/>
      <c r="X84" s="104"/>
      <c r="Y84" s="104"/>
      <c r="Z84" s="231"/>
      <c r="AA84" s="225"/>
      <c r="AB84" s="233"/>
      <c r="AC84" s="104"/>
      <c r="AD84" s="104"/>
      <c r="AE84" s="104"/>
    </row>
    <row r="85" ht="21.75" customHeight="1">
      <c r="A85" s="251"/>
      <c r="B85" s="247" t="s">
        <v>194</v>
      </c>
      <c r="C85" s="223"/>
      <c r="D85" s="223">
        <v>5.0</v>
      </c>
      <c r="E85" s="168"/>
      <c r="F85" s="190">
        <f t="shared" si="43"/>
        <v>1.75</v>
      </c>
      <c r="G85" s="221">
        <f t="shared" si="44"/>
        <v>42</v>
      </c>
      <c r="H85" s="222">
        <v>16.0</v>
      </c>
      <c r="I85" s="223">
        <v>14.0</v>
      </c>
      <c r="J85" s="168"/>
      <c r="K85" s="220">
        <v>12.0</v>
      </c>
      <c r="L85" s="220">
        <v>20.0</v>
      </c>
      <c r="M85" s="168"/>
      <c r="N85" s="168"/>
      <c r="O85" s="168"/>
      <c r="P85" s="168"/>
      <c r="Q85" s="168"/>
      <c r="R85" s="220"/>
      <c r="S85" s="223">
        <v>42.0</v>
      </c>
      <c r="T85" s="164"/>
      <c r="U85" s="168"/>
      <c r="V85" s="156"/>
      <c r="W85" s="103"/>
      <c r="X85" s="104"/>
      <c r="Y85" s="104"/>
      <c r="Z85" s="231"/>
      <c r="AA85" s="225"/>
      <c r="AB85" s="233"/>
      <c r="AC85" s="104"/>
      <c r="AD85" s="104"/>
      <c r="AE85" s="104"/>
    </row>
    <row r="86" ht="36.0" customHeight="1">
      <c r="A86" s="251"/>
      <c r="B86" s="247" t="s">
        <v>195</v>
      </c>
      <c r="C86" s="223"/>
      <c r="D86" s="223">
        <v>5.0</v>
      </c>
      <c r="E86" s="168"/>
      <c r="F86" s="190">
        <f t="shared" si="43"/>
        <v>1.75</v>
      </c>
      <c r="G86" s="221">
        <f t="shared" si="44"/>
        <v>42</v>
      </c>
      <c r="H86" s="222">
        <v>16.0</v>
      </c>
      <c r="I86" s="223">
        <v>14.0</v>
      </c>
      <c r="J86" s="168"/>
      <c r="K86" s="220">
        <v>12.0</v>
      </c>
      <c r="L86" s="220">
        <v>20.0</v>
      </c>
      <c r="M86" s="168"/>
      <c r="N86" s="168"/>
      <c r="O86" s="168"/>
      <c r="P86" s="168"/>
      <c r="Q86" s="168"/>
      <c r="R86" s="220"/>
      <c r="S86" s="223">
        <v>42.0</v>
      </c>
      <c r="T86" s="164"/>
      <c r="U86" s="168"/>
      <c r="V86" s="156"/>
      <c r="W86" s="103"/>
      <c r="X86" s="104"/>
      <c r="Y86" s="104"/>
      <c r="Z86" s="231"/>
      <c r="AA86" s="225"/>
      <c r="AB86" s="233"/>
      <c r="AC86" s="104"/>
      <c r="AD86" s="104"/>
      <c r="AE86" s="104"/>
    </row>
    <row r="87" ht="29.25" customHeight="1">
      <c r="A87" s="251"/>
      <c r="B87" s="247" t="s">
        <v>196</v>
      </c>
      <c r="C87" s="223"/>
      <c r="D87" s="223">
        <v>5.0</v>
      </c>
      <c r="E87" s="168"/>
      <c r="F87" s="190">
        <f t="shared" si="43"/>
        <v>1.75</v>
      </c>
      <c r="G87" s="221">
        <f t="shared" si="44"/>
        <v>42</v>
      </c>
      <c r="H87" s="222">
        <v>16.0</v>
      </c>
      <c r="I87" s="223">
        <v>14.0</v>
      </c>
      <c r="J87" s="168"/>
      <c r="K87" s="220">
        <v>12.0</v>
      </c>
      <c r="L87" s="220">
        <v>20.0</v>
      </c>
      <c r="M87" s="168"/>
      <c r="N87" s="168"/>
      <c r="O87" s="168"/>
      <c r="P87" s="168"/>
      <c r="Q87" s="168"/>
      <c r="R87" s="220"/>
      <c r="S87" s="223">
        <v>42.0</v>
      </c>
      <c r="T87" s="223"/>
      <c r="U87" s="168"/>
      <c r="V87" s="156"/>
      <c r="W87" s="103"/>
      <c r="X87" s="104"/>
      <c r="Y87" s="104"/>
      <c r="Z87" s="231"/>
      <c r="AA87" s="225"/>
      <c r="AB87" s="225"/>
      <c r="AC87" s="104"/>
      <c r="AD87" s="104"/>
      <c r="AE87" s="104"/>
    </row>
    <row r="88" ht="20.25" customHeight="1">
      <c r="A88" s="252"/>
      <c r="B88" s="200" t="s">
        <v>138</v>
      </c>
      <c r="C88" s="232"/>
      <c r="D88" s="172"/>
      <c r="E88" s="232"/>
      <c r="F88" s="175">
        <f t="shared" si="43"/>
        <v>12</v>
      </c>
      <c r="G88" s="176">
        <f t="shared" ref="G88:V88" si="45">SUM(G81:G87)</f>
        <v>288</v>
      </c>
      <c r="H88" s="176">
        <f t="shared" si="45"/>
        <v>106</v>
      </c>
      <c r="I88" s="176">
        <f t="shared" si="45"/>
        <v>98</v>
      </c>
      <c r="J88" s="176">
        <f t="shared" si="45"/>
        <v>0</v>
      </c>
      <c r="K88" s="176">
        <f t="shared" si="45"/>
        <v>84</v>
      </c>
      <c r="L88" s="176">
        <f t="shared" si="45"/>
        <v>140</v>
      </c>
      <c r="M88" s="176">
        <f t="shared" si="45"/>
        <v>0</v>
      </c>
      <c r="N88" s="176">
        <f t="shared" si="45"/>
        <v>0</v>
      </c>
      <c r="O88" s="176">
        <f t="shared" si="45"/>
        <v>0</v>
      </c>
      <c r="P88" s="176">
        <f t="shared" si="45"/>
        <v>0</v>
      </c>
      <c r="Q88" s="176">
        <f t="shared" si="45"/>
        <v>0</v>
      </c>
      <c r="R88" s="176">
        <f t="shared" si="45"/>
        <v>120</v>
      </c>
      <c r="S88" s="176">
        <f t="shared" si="45"/>
        <v>168</v>
      </c>
      <c r="T88" s="176">
        <f t="shared" si="45"/>
        <v>0</v>
      </c>
      <c r="U88" s="176">
        <f t="shared" si="45"/>
        <v>0</v>
      </c>
      <c r="V88" s="176">
        <f t="shared" si="45"/>
        <v>0</v>
      </c>
      <c r="W88" s="103"/>
      <c r="X88" s="104"/>
      <c r="Y88" s="104"/>
      <c r="Z88" s="226"/>
      <c r="AA88" s="233"/>
      <c r="AB88" s="233"/>
      <c r="AC88" s="104"/>
      <c r="AD88" s="104"/>
      <c r="AE88" s="104"/>
    </row>
    <row r="89" ht="20.25" customHeight="1">
      <c r="A89" s="252"/>
      <c r="B89" s="249" t="s">
        <v>175</v>
      </c>
      <c r="C89" s="235"/>
      <c r="D89" s="172"/>
      <c r="E89" s="232"/>
      <c r="F89" s="175">
        <f t="shared" si="43"/>
        <v>8</v>
      </c>
      <c r="G89" s="176">
        <f>SUM(M81:M89)</f>
        <v>192</v>
      </c>
      <c r="H89" s="232"/>
      <c r="I89" s="232"/>
      <c r="J89" s="232"/>
      <c r="K89" s="232"/>
      <c r="L89" s="232"/>
      <c r="M89" s="177">
        <f>SUM(O89:V89)</f>
        <v>192</v>
      </c>
      <c r="N89" s="232"/>
      <c r="O89" s="232"/>
      <c r="P89" s="232"/>
      <c r="Q89" s="232"/>
      <c r="R89" s="235"/>
      <c r="S89" s="236">
        <v>192.0</v>
      </c>
      <c r="T89" s="253"/>
      <c r="U89" s="232"/>
      <c r="V89" s="232"/>
      <c r="W89" s="103"/>
      <c r="X89" s="104"/>
      <c r="Y89" s="104"/>
      <c r="Z89" s="231"/>
      <c r="AA89" s="225"/>
      <c r="AB89" s="225"/>
      <c r="AC89" s="104"/>
      <c r="AD89" s="104"/>
      <c r="AE89" s="104"/>
    </row>
    <row r="90" ht="20.25" customHeight="1">
      <c r="A90" s="254"/>
      <c r="B90" s="203" t="s">
        <v>197</v>
      </c>
      <c r="C90" s="239">
        <v>5.0</v>
      </c>
      <c r="D90" s="185"/>
      <c r="E90" s="240"/>
      <c r="F90" s="187">
        <f t="shared" si="43"/>
        <v>20</v>
      </c>
      <c r="G90" s="185">
        <f t="shared" ref="G90:V90" si="46">SUM(G88:G89)</f>
        <v>480</v>
      </c>
      <c r="H90" s="185">
        <f t="shared" si="46"/>
        <v>106</v>
      </c>
      <c r="I90" s="185">
        <f t="shared" si="46"/>
        <v>98</v>
      </c>
      <c r="J90" s="185">
        <f t="shared" si="46"/>
        <v>0</v>
      </c>
      <c r="K90" s="185">
        <f t="shared" si="46"/>
        <v>84</v>
      </c>
      <c r="L90" s="185">
        <f t="shared" si="46"/>
        <v>140</v>
      </c>
      <c r="M90" s="185">
        <f t="shared" si="46"/>
        <v>192</v>
      </c>
      <c r="N90" s="185">
        <f t="shared" si="46"/>
        <v>0</v>
      </c>
      <c r="O90" s="185">
        <f t="shared" si="46"/>
        <v>0</v>
      </c>
      <c r="P90" s="185">
        <f t="shared" si="46"/>
        <v>0</v>
      </c>
      <c r="Q90" s="185">
        <f t="shared" si="46"/>
        <v>0</v>
      </c>
      <c r="R90" s="185">
        <f t="shared" si="46"/>
        <v>120</v>
      </c>
      <c r="S90" s="185">
        <f t="shared" si="46"/>
        <v>360</v>
      </c>
      <c r="T90" s="185">
        <f t="shared" si="46"/>
        <v>0</v>
      </c>
      <c r="U90" s="185">
        <f t="shared" si="46"/>
        <v>0</v>
      </c>
      <c r="V90" s="185">
        <f t="shared" si="46"/>
        <v>0</v>
      </c>
      <c r="W90" s="103"/>
      <c r="X90" s="104"/>
      <c r="Y90" s="104"/>
      <c r="Z90" s="104"/>
      <c r="AA90" s="104"/>
      <c r="AB90" s="104"/>
      <c r="AC90" s="104"/>
      <c r="AD90" s="104"/>
      <c r="AE90" s="104"/>
    </row>
    <row r="91" ht="19.5" customHeight="1">
      <c r="A91" s="255" t="s">
        <v>198</v>
      </c>
      <c r="B91" s="256" t="s">
        <v>199</v>
      </c>
      <c r="C91" s="257"/>
      <c r="D91" s="257"/>
      <c r="E91" s="257"/>
      <c r="F91" s="149"/>
      <c r="G91" s="258"/>
      <c r="H91" s="257"/>
      <c r="I91" s="257"/>
      <c r="J91" s="257"/>
      <c r="K91" s="257"/>
      <c r="L91" s="259"/>
      <c r="M91" s="149"/>
      <c r="N91" s="257"/>
      <c r="O91" s="257"/>
      <c r="P91" s="257"/>
      <c r="Q91" s="257"/>
      <c r="R91" s="257"/>
      <c r="S91" s="257"/>
      <c r="T91" s="257"/>
      <c r="U91" s="257"/>
      <c r="V91" s="257"/>
      <c r="W91" s="178">
        <f>G91*40/100</f>
        <v>0</v>
      </c>
      <c r="X91" s="104"/>
      <c r="Y91" s="104"/>
      <c r="Z91" s="104"/>
      <c r="AA91" s="104"/>
      <c r="AB91" s="104"/>
      <c r="AC91" s="104"/>
      <c r="AD91" s="104"/>
      <c r="AE91" s="104"/>
    </row>
    <row r="92" ht="33.75" customHeight="1">
      <c r="A92" s="131"/>
      <c r="B92" s="260" t="s">
        <v>200</v>
      </c>
      <c r="C92" s="223"/>
      <c r="D92" s="223">
        <v>5.0</v>
      </c>
      <c r="E92" s="168"/>
      <c r="F92" s="190">
        <f t="shared" ref="F92:F99" si="47">G92/24</f>
        <v>2.333333333</v>
      </c>
      <c r="G92" s="221">
        <f t="shared" ref="G92:G96" si="48">SUM(H92+I92+J92+K92+M92)</f>
        <v>56</v>
      </c>
      <c r="H92" s="222">
        <v>20.0</v>
      </c>
      <c r="I92" s="220">
        <v>20.0</v>
      </c>
      <c r="J92" s="220">
        <v>4.0</v>
      </c>
      <c r="K92" s="220">
        <v>12.0</v>
      </c>
      <c r="L92" s="220">
        <v>20.0</v>
      </c>
      <c r="M92" s="168"/>
      <c r="N92" s="168"/>
      <c r="O92" s="168"/>
      <c r="P92" s="168"/>
      <c r="Q92" s="168"/>
      <c r="R92" s="220"/>
      <c r="S92" s="223">
        <v>56.0</v>
      </c>
      <c r="T92" s="164"/>
      <c r="U92" s="156"/>
      <c r="V92" s="156"/>
      <c r="W92" s="103"/>
      <c r="X92" s="104"/>
      <c r="Y92" s="104"/>
      <c r="Z92" s="104"/>
      <c r="AA92" s="225"/>
      <c r="AB92" s="233"/>
      <c r="AC92" s="104"/>
      <c r="AD92" s="104"/>
      <c r="AE92" s="104"/>
    </row>
    <row r="93" ht="33.75" customHeight="1">
      <c r="A93" s="131"/>
      <c r="B93" s="261" t="s">
        <v>201</v>
      </c>
      <c r="C93" s="223"/>
      <c r="D93" s="223">
        <v>5.0</v>
      </c>
      <c r="E93" s="168"/>
      <c r="F93" s="190">
        <f t="shared" si="47"/>
        <v>2.416666667</v>
      </c>
      <c r="G93" s="221">
        <f t="shared" si="48"/>
        <v>58</v>
      </c>
      <c r="H93" s="222">
        <v>22.0</v>
      </c>
      <c r="I93" s="220">
        <v>20.0</v>
      </c>
      <c r="J93" s="220">
        <v>4.0</v>
      </c>
      <c r="K93" s="220">
        <v>12.0</v>
      </c>
      <c r="L93" s="220">
        <v>20.0</v>
      </c>
      <c r="M93" s="168"/>
      <c r="N93" s="168"/>
      <c r="O93" s="168"/>
      <c r="P93" s="168"/>
      <c r="Q93" s="168"/>
      <c r="R93" s="168"/>
      <c r="S93" s="223">
        <v>58.0</v>
      </c>
      <c r="T93" s="164"/>
      <c r="U93" s="156"/>
      <c r="V93" s="156"/>
      <c r="W93" s="103"/>
      <c r="X93" s="104"/>
      <c r="Y93" s="104"/>
      <c r="Z93" s="104"/>
      <c r="AA93" s="225"/>
      <c r="AB93" s="233"/>
      <c r="AC93" s="104"/>
      <c r="AD93" s="104"/>
      <c r="AE93" s="104"/>
    </row>
    <row r="94" ht="28.5" customHeight="1">
      <c r="A94" s="131"/>
      <c r="B94" s="261" t="s">
        <v>202</v>
      </c>
      <c r="C94" s="223"/>
      <c r="D94" s="262">
        <v>5.0</v>
      </c>
      <c r="E94" s="168"/>
      <c r="F94" s="190">
        <f t="shared" si="47"/>
        <v>2.416666667</v>
      </c>
      <c r="G94" s="221">
        <f t="shared" si="48"/>
        <v>58</v>
      </c>
      <c r="H94" s="222">
        <v>22.0</v>
      </c>
      <c r="I94" s="220">
        <v>20.0</v>
      </c>
      <c r="J94" s="220">
        <v>4.0</v>
      </c>
      <c r="K94" s="220">
        <v>12.0</v>
      </c>
      <c r="L94" s="220">
        <v>20.0</v>
      </c>
      <c r="M94" s="168"/>
      <c r="N94" s="168"/>
      <c r="O94" s="168"/>
      <c r="P94" s="168"/>
      <c r="Q94" s="168"/>
      <c r="R94" s="168"/>
      <c r="S94" s="223">
        <v>58.0</v>
      </c>
      <c r="T94" s="223"/>
      <c r="U94" s="156"/>
      <c r="V94" s="156"/>
      <c r="W94" s="103"/>
      <c r="X94" s="104"/>
      <c r="Y94" s="104"/>
      <c r="Z94" s="104"/>
      <c r="AA94" s="225"/>
      <c r="AB94" s="233"/>
      <c r="AC94" s="104"/>
      <c r="AD94" s="104"/>
      <c r="AE94" s="104"/>
    </row>
    <row r="95" ht="32.25" customHeight="1">
      <c r="A95" s="131"/>
      <c r="B95" s="261" t="s">
        <v>203</v>
      </c>
      <c r="C95" s="223"/>
      <c r="D95" s="223">
        <v>6.0</v>
      </c>
      <c r="E95" s="168"/>
      <c r="F95" s="190">
        <f t="shared" si="47"/>
        <v>2.416666667</v>
      </c>
      <c r="G95" s="263">
        <f t="shared" si="48"/>
        <v>58</v>
      </c>
      <c r="H95" s="264">
        <v>20.0</v>
      </c>
      <c r="I95" s="220">
        <v>20.0</v>
      </c>
      <c r="J95" s="220">
        <v>6.0</v>
      </c>
      <c r="K95" s="220">
        <v>12.0</v>
      </c>
      <c r="L95" s="220">
        <v>20.0</v>
      </c>
      <c r="M95" s="168"/>
      <c r="N95" s="168"/>
      <c r="O95" s="168"/>
      <c r="P95" s="168"/>
      <c r="Q95" s="168"/>
      <c r="R95" s="168"/>
      <c r="S95" s="265"/>
      <c r="T95" s="223">
        <v>58.0</v>
      </c>
      <c r="U95" s="156"/>
      <c r="V95" s="156"/>
      <c r="W95" s="103"/>
      <c r="X95" s="104"/>
      <c r="Y95" s="104"/>
      <c r="Z95" s="104"/>
      <c r="AA95" s="262"/>
      <c r="AB95" s="225"/>
      <c r="AC95" s="104"/>
      <c r="AD95" s="104"/>
      <c r="AE95" s="104"/>
    </row>
    <row r="96" ht="19.5" customHeight="1">
      <c r="A96" s="131"/>
      <c r="B96" s="261" t="s">
        <v>204</v>
      </c>
      <c r="C96" s="223"/>
      <c r="D96" s="223">
        <v>6.0</v>
      </c>
      <c r="E96" s="168"/>
      <c r="F96" s="190">
        <f t="shared" si="47"/>
        <v>2.416666667</v>
      </c>
      <c r="G96" s="221">
        <f t="shared" si="48"/>
        <v>58</v>
      </c>
      <c r="H96" s="222">
        <v>20.0</v>
      </c>
      <c r="I96" s="220">
        <v>20.0</v>
      </c>
      <c r="J96" s="220">
        <v>6.0</v>
      </c>
      <c r="K96" s="220">
        <v>12.0</v>
      </c>
      <c r="L96" s="220">
        <v>20.0</v>
      </c>
      <c r="M96" s="168"/>
      <c r="N96" s="168"/>
      <c r="O96" s="168"/>
      <c r="P96" s="168"/>
      <c r="Q96" s="168"/>
      <c r="R96" s="168"/>
      <c r="S96" s="265"/>
      <c r="T96" s="223">
        <v>58.0</v>
      </c>
      <c r="U96" s="156"/>
      <c r="V96" s="156"/>
      <c r="W96" s="178"/>
      <c r="X96" s="104"/>
      <c r="Y96" s="104"/>
      <c r="Z96" s="104"/>
      <c r="AA96" s="262"/>
      <c r="AB96" s="225"/>
      <c r="AC96" s="104"/>
      <c r="AD96" s="104"/>
      <c r="AE96" s="104"/>
    </row>
    <row r="97" ht="18.75" customHeight="1">
      <c r="A97" s="252"/>
      <c r="B97" s="200" t="s">
        <v>138</v>
      </c>
      <c r="C97" s="232"/>
      <c r="D97" s="172"/>
      <c r="E97" s="232"/>
      <c r="F97" s="175">
        <f t="shared" si="47"/>
        <v>12</v>
      </c>
      <c r="G97" s="176">
        <f t="shared" ref="G97:V97" si="49">SUM(G92:G96)</f>
        <v>288</v>
      </c>
      <c r="H97" s="176">
        <f t="shared" si="49"/>
        <v>104</v>
      </c>
      <c r="I97" s="176">
        <f t="shared" si="49"/>
        <v>100</v>
      </c>
      <c r="J97" s="176">
        <f t="shared" si="49"/>
        <v>24</v>
      </c>
      <c r="K97" s="176">
        <f t="shared" si="49"/>
        <v>60</v>
      </c>
      <c r="L97" s="176">
        <f t="shared" si="49"/>
        <v>100</v>
      </c>
      <c r="M97" s="176">
        <f t="shared" si="49"/>
        <v>0</v>
      </c>
      <c r="N97" s="176">
        <f t="shared" si="49"/>
        <v>0</v>
      </c>
      <c r="O97" s="176">
        <f t="shared" si="49"/>
        <v>0</v>
      </c>
      <c r="P97" s="176">
        <f t="shared" si="49"/>
        <v>0</v>
      </c>
      <c r="Q97" s="176">
        <f t="shared" si="49"/>
        <v>0</v>
      </c>
      <c r="R97" s="176">
        <f t="shared" si="49"/>
        <v>0</v>
      </c>
      <c r="S97" s="176">
        <f t="shared" si="49"/>
        <v>172</v>
      </c>
      <c r="T97" s="176">
        <f t="shared" si="49"/>
        <v>116</v>
      </c>
      <c r="U97" s="176">
        <f t="shared" si="49"/>
        <v>0</v>
      </c>
      <c r="V97" s="176">
        <f t="shared" si="49"/>
        <v>0</v>
      </c>
      <c r="W97" s="266"/>
      <c r="X97" s="104"/>
      <c r="Y97" s="104"/>
      <c r="Z97" s="104"/>
      <c r="AA97" s="267"/>
      <c r="AB97" s="226"/>
      <c r="AC97" s="104"/>
      <c r="AD97" s="104"/>
      <c r="AE97" s="104"/>
    </row>
    <row r="98" ht="18.75" customHeight="1">
      <c r="A98" s="252"/>
      <c r="B98" s="249" t="s">
        <v>186</v>
      </c>
      <c r="C98" s="235"/>
      <c r="D98" s="172"/>
      <c r="E98" s="232"/>
      <c r="F98" s="175">
        <f t="shared" si="47"/>
        <v>8</v>
      </c>
      <c r="G98" s="176">
        <f>SUM(M92:M98)</f>
        <v>192</v>
      </c>
      <c r="H98" s="177"/>
      <c r="I98" s="177"/>
      <c r="J98" s="177"/>
      <c r="K98" s="177"/>
      <c r="L98" s="177"/>
      <c r="M98" s="177">
        <f>SUM(O98:V98)</f>
        <v>192</v>
      </c>
      <c r="N98" s="177"/>
      <c r="O98" s="177"/>
      <c r="P98" s="177"/>
      <c r="Q98" s="177"/>
      <c r="R98" s="177"/>
      <c r="S98" s="268"/>
      <c r="T98" s="237">
        <v>192.0</v>
      </c>
      <c r="U98" s="177"/>
      <c r="V98" s="232"/>
      <c r="W98" s="266"/>
      <c r="X98" s="104"/>
      <c r="Y98" s="104"/>
      <c r="Z98" s="104"/>
      <c r="AA98" s="262"/>
      <c r="AB98" s="231"/>
      <c r="AC98" s="104"/>
      <c r="AD98" s="104"/>
      <c r="AE98" s="104"/>
    </row>
    <row r="99" ht="18.75" customHeight="1">
      <c r="A99" s="254"/>
      <c r="B99" s="203" t="s">
        <v>205</v>
      </c>
      <c r="C99" s="239">
        <v>6.0</v>
      </c>
      <c r="D99" s="185"/>
      <c r="E99" s="240"/>
      <c r="F99" s="187">
        <f t="shared" si="47"/>
        <v>20</v>
      </c>
      <c r="G99" s="185">
        <f t="shared" ref="G99:V99" si="50">SUM(G97:G98)</f>
        <v>480</v>
      </c>
      <c r="H99" s="185">
        <f t="shared" si="50"/>
        <v>104</v>
      </c>
      <c r="I99" s="185">
        <f t="shared" si="50"/>
        <v>100</v>
      </c>
      <c r="J99" s="185">
        <f t="shared" si="50"/>
        <v>24</v>
      </c>
      <c r="K99" s="185">
        <f t="shared" si="50"/>
        <v>60</v>
      </c>
      <c r="L99" s="185">
        <f t="shared" si="50"/>
        <v>100</v>
      </c>
      <c r="M99" s="185">
        <f t="shared" si="50"/>
        <v>192</v>
      </c>
      <c r="N99" s="185">
        <f t="shared" si="50"/>
        <v>0</v>
      </c>
      <c r="O99" s="185">
        <f t="shared" si="50"/>
        <v>0</v>
      </c>
      <c r="P99" s="185">
        <f t="shared" si="50"/>
        <v>0</v>
      </c>
      <c r="Q99" s="185">
        <f t="shared" si="50"/>
        <v>0</v>
      </c>
      <c r="R99" s="185">
        <f t="shared" si="50"/>
        <v>0</v>
      </c>
      <c r="S99" s="185">
        <f t="shared" si="50"/>
        <v>172</v>
      </c>
      <c r="T99" s="185">
        <f t="shared" si="50"/>
        <v>308</v>
      </c>
      <c r="U99" s="185">
        <f t="shared" si="50"/>
        <v>0</v>
      </c>
      <c r="V99" s="185">
        <f t="shared" si="50"/>
        <v>0</v>
      </c>
      <c r="W99" s="266"/>
      <c r="X99" s="104"/>
      <c r="Y99" s="104"/>
      <c r="Z99" s="104"/>
      <c r="AA99" s="104"/>
      <c r="AB99" s="104"/>
      <c r="AC99" s="104"/>
      <c r="AD99" s="104"/>
      <c r="AE99" s="104"/>
    </row>
    <row r="100" ht="18.0" customHeight="1">
      <c r="A100" s="269" t="s">
        <v>206</v>
      </c>
      <c r="B100" s="256" t="s">
        <v>207</v>
      </c>
      <c r="C100" s="257"/>
      <c r="D100" s="257"/>
      <c r="E100" s="257"/>
      <c r="F100" s="149"/>
      <c r="G100" s="243"/>
      <c r="H100" s="257"/>
      <c r="I100" s="257"/>
      <c r="J100" s="257"/>
      <c r="K100" s="257"/>
      <c r="L100" s="257"/>
      <c r="M100" s="149"/>
      <c r="N100" s="257"/>
      <c r="O100" s="257"/>
      <c r="P100" s="257"/>
      <c r="Q100" s="257"/>
      <c r="R100" s="257"/>
      <c r="S100" s="255"/>
      <c r="T100" s="255"/>
      <c r="U100" s="255"/>
      <c r="V100" s="270"/>
      <c r="W100" s="178">
        <f>G100*40/100</f>
        <v>0</v>
      </c>
      <c r="X100" s="104"/>
      <c r="Y100" s="104"/>
      <c r="Z100" s="104"/>
      <c r="AA100" s="104"/>
      <c r="AB100" s="104"/>
      <c r="AC100" s="104"/>
      <c r="AD100" s="104"/>
      <c r="AE100" s="104"/>
    </row>
    <row r="101" ht="44.25" customHeight="1">
      <c r="A101" s="131"/>
      <c r="B101" s="260" t="s">
        <v>208</v>
      </c>
      <c r="C101" s="223"/>
      <c r="D101" s="223">
        <v>5.0</v>
      </c>
      <c r="E101" s="168"/>
      <c r="F101" s="190">
        <f t="shared" ref="F101:F109" si="51">G101/24</f>
        <v>2</v>
      </c>
      <c r="G101" s="221">
        <f t="shared" ref="G101:G106" si="52">SUM(H101+I101+J101+K101+M101)</f>
        <v>48</v>
      </c>
      <c r="H101" s="222">
        <v>18.0</v>
      </c>
      <c r="I101" s="220">
        <v>18.0</v>
      </c>
      <c r="J101" s="220"/>
      <c r="K101" s="220">
        <v>12.0</v>
      </c>
      <c r="L101" s="220">
        <v>20.0</v>
      </c>
      <c r="M101" s="168"/>
      <c r="N101" s="168"/>
      <c r="O101" s="168"/>
      <c r="P101" s="168"/>
      <c r="Q101" s="168"/>
      <c r="R101" s="168"/>
      <c r="S101" s="265">
        <v>48.0</v>
      </c>
      <c r="T101" s="220"/>
      <c r="U101" s="164"/>
      <c r="V101" s="271"/>
      <c r="W101" s="266"/>
      <c r="X101" s="104"/>
      <c r="Y101" s="104"/>
      <c r="Z101" s="104"/>
      <c r="AA101" s="104"/>
      <c r="AB101" s="231"/>
      <c r="AC101" s="104"/>
      <c r="AD101" s="104"/>
      <c r="AE101" s="104"/>
    </row>
    <row r="102" ht="31.5" customHeight="1">
      <c r="A102" s="131"/>
      <c r="B102" s="261" t="s">
        <v>209</v>
      </c>
      <c r="C102" s="223"/>
      <c r="D102" s="223">
        <v>5.6</v>
      </c>
      <c r="E102" s="168"/>
      <c r="F102" s="190">
        <f t="shared" si="51"/>
        <v>2</v>
      </c>
      <c r="G102" s="221">
        <f t="shared" si="52"/>
        <v>48</v>
      </c>
      <c r="H102" s="222">
        <v>18.0</v>
      </c>
      <c r="I102" s="220">
        <v>18.0</v>
      </c>
      <c r="J102" s="220"/>
      <c r="K102" s="220">
        <v>12.0</v>
      </c>
      <c r="L102" s="220">
        <v>20.0</v>
      </c>
      <c r="M102" s="168"/>
      <c r="N102" s="168"/>
      <c r="O102" s="168"/>
      <c r="P102" s="168"/>
      <c r="Q102" s="168"/>
      <c r="R102" s="168"/>
      <c r="S102" s="265">
        <v>8.0</v>
      </c>
      <c r="T102" s="220">
        <v>40.0</v>
      </c>
      <c r="U102" s="164"/>
      <c r="V102" s="271"/>
      <c r="W102" s="266"/>
      <c r="X102" s="104"/>
      <c r="Y102" s="104"/>
      <c r="Z102" s="104"/>
      <c r="AA102" s="104"/>
      <c r="AB102" s="231"/>
      <c r="AC102" s="104"/>
      <c r="AD102" s="104"/>
      <c r="AE102" s="104"/>
    </row>
    <row r="103" ht="28.5" customHeight="1">
      <c r="A103" s="131"/>
      <c r="B103" s="261" t="s">
        <v>210</v>
      </c>
      <c r="C103" s="223"/>
      <c r="D103" s="223">
        <v>6.0</v>
      </c>
      <c r="E103" s="168"/>
      <c r="F103" s="190">
        <f t="shared" si="51"/>
        <v>2</v>
      </c>
      <c r="G103" s="221">
        <f t="shared" si="52"/>
        <v>48</v>
      </c>
      <c r="H103" s="222">
        <v>18.0</v>
      </c>
      <c r="I103" s="220">
        <v>18.0</v>
      </c>
      <c r="J103" s="220"/>
      <c r="K103" s="220">
        <v>12.0</v>
      </c>
      <c r="L103" s="220">
        <v>20.0</v>
      </c>
      <c r="M103" s="168"/>
      <c r="N103" s="168"/>
      <c r="O103" s="168"/>
      <c r="P103" s="168"/>
      <c r="Q103" s="168"/>
      <c r="R103" s="168"/>
      <c r="S103" s="272"/>
      <c r="T103" s="220">
        <v>48.0</v>
      </c>
      <c r="U103" s="164"/>
      <c r="V103" s="271"/>
      <c r="W103" s="266"/>
      <c r="X103" s="104"/>
      <c r="Y103" s="104"/>
      <c r="Z103" s="104"/>
      <c r="AA103" s="104"/>
      <c r="AB103" s="231"/>
      <c r="AC103" s="104"/>
      <c r="AD103" s="104"/>
      <c r="AE103" s="104"/>
    </row>
    <row r="104" ht="20.25" customHeight="1">
      <c r="A104" s="131"/>
      <c r="B104" s="261" t="s">
        <v>211</v>
      </c>
      <c r="C104" s="223"/>
      <c r="D104" s="223">
        <v>6.0</v>
      </c>
      <c r="E104" s="168"/>
      <c r="F104" s="190">
        <f t="shared" si="51"/>
        <v>2</v>
      </c>
      <c r="G104" s="221">
        <f t="shared" si="52"/>
        <v>48</v>
      </c>
      <c r="H104" s="222">
        <v>18.0</v>
      </c>
      <c r="I104" s="220">
        <v>18.0</v>
      </c>
      <c r="J104" s="220"/>
      <c r="K104" s="220">
        <v>12.0</v>
      </c>
      <c r="L104" s="220">
        <v>20.0</v>
      </c>
      <c r="M104" s="168"/>
      <c r="N104" s="168"/>
      <c r="O104" s="168"/>
      <c r="P104" s="168"/>
      <c r="Q104" s="168"/>
      <c r="R104" s="168"/>
      <c r="S104" s="272"/>
      <c r="T104" s="220">
        <v>48.0</v>
      </c>
      <c r="U104" s="164"/>
      <c r="V104" s="271"/>
      <c r="W104" s="230"/>
      <c r="X104" s="104"/>
      <c r="Y104" s="104"/>
      <c r="Z104" s="104"/>
      <c r="AA104" s="104"/>
      <c r="AB104" s="231"/>
      <c r="AC104" s="104"/>
      <c r="AD104" s="104"/>
      <c r="AE104" s="104"/>
    </row>
    <row r="105" ht="31.5" customHeight="1">
      <c r="A105" s="131"/>
      <c r="B105" s="261" t="s">
        <v>212</v>
      </c>
      <c r="C105" s="223"/>
      <c r="D105" s="223">
        <v>6.0</v>
      </c>
      <c r="E105" s="168"/>
      <c r="F105" s="190">
        <f t="shared" si="51"/>
        <v>2</v>
      </c>
      <c r="G105" s="221">
        <f t="shared" si="52"/>
        <v>48</v>
      </c>
      <c r="H105" s="222">
        <v>18.0</v>
      </c>
      <c r="I105" s="220">
        <v>18.0</v>
      </c>
      <c r="J105" s="220"/>
      <c r="K105" s="220">
        <v>12.0</v>
      </c>
      <c r="L105" s="220">
        <v>18.0</v>
      </c>
      <c r="M105" s="168"/>
      <c r="N105" s="168"/>
      <c r="O105" s="168"/>
      <c r="P105" s="168"/>
      <c r="Q105" s="168"/>
      <c r="R105" s="168"/>
      <c r="S105" s="272"/>
      <c r="T105" s="220">
        <v>48.0</v>
      </c>
      <c r="U105" s="223"/>
      <c r="V105" s="271"/>
      <c r="W105" s="230"/>
      <c r="X105" s="104"/>
      <c r="Y105" s="104"/>
      <c r="Z105" s="104"/>
      <c r="AA105" s="104"/>
      <c r="AB105" s="231"/>
      <c r="AC105" s="104"/>
      <c r="AD105" s="104"/>
      <c r="AE105" s="104"/>
    </row>
    <row r="106" ht="29.25" customHeight="1">
      <c r="A106" s="131"/>
      <c r="B106" s="261" t="s">
        <v>213</v>
      </c>
      <c r="C106" s="223"/>
      <c r="D106" s="223">
        <v>6.0</v>
      </c>
      <c r="E106" s="168"/>
      <c r="F106" s="190">
        <f t="shared" si="51"/>
        <v>2</v>
      </c>
      <c r="G106" s="221">
        <f t="shared" si="52"/>
        <v>48</v>
      </c>
      <c r="H106" s="222">
        <v>18.0</v>
      </c>
      <c r="I106" s="220">
        <v>18.0</v>
      </c>
      <c r="J106" s="220"/>
      <c r="K106" s="220">
        <v>12.0</v>
      </c>
      <c r="L106" s="220">
        <v>18.0</v>
      </c>
      <c r="M106" s="168"/>
      <c r="N106" s="168"/>
      <c r="O106" s="168"/>
      <c r="P106" s="168"/>
      <c r="Q106" s="168"/>
      <c r="R106" s="168"/>
      <c r="S106" s="272"/>
      <c r="T106" s="220">
        <v>48.0</v>
      </c>
      <c r="U106" s="223"/>
      <c r="V106" s="271"/>
      <c r="W106" s="230"/>
      <c r="X106" s="104"/>
      <c r="Y106" s="104"/>
      <c r="Z106" s="104"/>
      <c r="AA106" s="104"/>
      <c r="AB106" s="231"/>
      <c r="AC106" s="104"/>
      <c r="AD106" s="104"/>
      <c r="AE106" s="104"/>
    </row>
    <row r="107" ht="19.5" customHeight="1">
      <c r="A107" s="252"/>
      <c r="B107" s="200" t="s">
        <v>138</v>
      </c>
      <c r="C107" s="232"/>
      <c r="D107" s="172"/>
      <c r="E107" s="232"/>
      <c r="F107" s="175">
        <f t="shared" si="51"/>
        <v>12</v>
      </c>
      <c r="G107" s="176">
        <f t="shared" ref="G107:V107" si="53">SUM(G101:G106)</f>
        <v>288</v>
      </c>
      <c r="H107" s="176">
        <f t="shared" si="53"/>
        <v>108</v>
      </c>
      <c r="I107" s="176">
        <f t="shared" si="53"/>
        <v>108</v>
      </c>
      <c r="J107" s="176">
        <f t="shared" si="53"/>
        <v>0</v>
      </c>
      <c r="K107" s="176">
        <f t="shared" si="53"/>
        <v>72</v>
      </c>
      <c r="L107" s="176">
        <f t="shared" si="53"/>
        <v>116</v>
      </c>
      <c r="M107" s="176">
        <f t="shared" si="53"/>
        <v>0</v>
      </c>
      <c r="N107" s="176">
        <f t="shared" si="53"/>
        <v>0</v>
      </c>
      <c r="O107" s="176">
        <f t="shared" si="53"/>
        <v>0</v>
      </c>
      <c r="P107" s="176">
        <f t="shared" si="53"/>
        <v>0</v>
      </c>
      <c r="Q107" s="176">
        <f t="shared" si="53"/>
        <v>0</v>
      </c>
      <c r="R107" s="176">
        <f t="shared" si="53"/>
        <v>0</v>
      </c>
      <c r="S107" s="176">
        <f t="shared" si="53"/>
        <v>56</v>
      </c>
      <c r="T107" s="176">
        <f t="shared" si="53"/>
        <v>232</v>
      </c>
      <c r="U107" s="176">
        <f t="shared" si="53"/>
        <v>0</v>
      </c>
      <c r="V107" s="176">
        <f t="shared" si="53"/>
        <v>0</v>
      </c>
      <c r="W107" s="266"/>
      <c r="X107" s="104"/>
      <c r="Y107" s="104"/>
      <c r="Z107" s="104"/>
      <c r="AA107" s="104"/>
      <c r="AB107" s="226"/>
      <c r="AC107" s="104"/>
      <c r="AD107" s="104"/>
      <c r="AE107" s="104"/>
    </row>
    <row r="108" ht="19.5" customHeight="1">
      <c r="A108" s="252"/>
      <c r="B108" s="234" t="s">
        <v>175</v>
      </c>
      <c r="C108" s="235"/>
      <c r="D108" s="172"/>
      <c r="E108" s="232"/>
      <c r="F108" s="175">
        <f t="shared" si="51"/>
        <v>8</v>
      </c>
      <c r="G108" s="176">
        <f>SUM(M101:M108)</f>
        <v>192</v>
      </c>
      <c r="H108" s="177"/>
      <c r="I108" s="177"/>
      <c r="J108" s="177"/>
      <c r="K108" s="177"/>
      <c r="L108" s="177"/>
      <c r="M108" s="177">
        <f>SUM(O108:V108)</f>
        <v>192</v>
      </c>
      <c r="N108" s="177"/>
      <c r="O108" s="177"/>
      <c r="P108" s="177"/>
      <c r="Q108" s="177"/>
      <c r="R108" s="177"/>
      <c r="S108" s="273"/>
      <c r="T108" s="237">
        <v>192.0</v>
      </c>
      <c r="U108" s="236"/>
      <c r="V108" s="274"/>
      <c r="W108" s="266"/>
      <c r="X108" s="104"/>
      <c r="Y108" s="104"/>
      <c r="Z108" s="104"/>
      <c r="AA108" s="104"/>
      <c r="AB108" s="231"/>
      <c r="AC108" s="104"/>
      <c r="AD108" s="104"/>
      <c r="AE108" s="104"/>
    </row>
    <row r="109" ht="19.5" customHeight="1">
      <c r="A109" s="254"/>
      <c r="B109" s="203" t="s">
        <v>214</v>
      </c>
      <c r="C109" s="240">
        <v>6.0</v>
      </c>
      <c r="D109" s="185"/>
      <c r="E109" s="240"/>
      <c r="F109" s="187">
        <f t="shared" si="51"/>
        <v>20</v>
      </c>
      <c r="G109" s="185">
        <f t="shared" ref="G109:V109" si="54">SUM(G107:G108)</f>
        <v>480</v>
      </c>
      <c r="H109" s="185">
        <f t="shared" si="54"/>
        <v>108</v>
      </c>
      <c r="I109" s="185">
        <f t="shared" si="54"/>
        <v>108</v>
      </c>
      <c r="J109" s="185">
        <f t="shared" si="54"/>
        <v>0</v>
      </c>
      <c r="K109" s="185">
        <f t="shared" si="54"/>
        <v>72</v>
      </c>
      <c r="L109" s="185">
        <f t="shared" si="54"/>
        <v>116</v>
      </c>
      <c r="M109" s="185">
        <f t="shared" si="54"/>
        <v>192</v>
      </c>
      <c r="N109" s="185">
        <f t="shared" si="54"/>
        <v>0</v>
      </c>
      <c r="O109" s="185">
        <f t="shared" si="54"/>
        <v>0</v>
      </c>
      <c r="P109" s="185">
        <f t="shared" si="54"/>
        <v>0</v>
      </c>
      <c r="Q109" s="185">
        <f t="shared" si="54"/>
        <v>0</v>
      </c>
      <c r="R109" s="185">
        <f t="shared" si="54"/>
        <v>0</v>
      </c>
      <c r="S109" s="185">
        <f t="shared" si="54"/>
        <v>56</v>
      </c>
      <c r="T109" s="185">
        <f t="shared" si="54"/>
        <v>424</v>
      </c>
      <c r="U109" s="185">
        <f t="shared" si="54"/>
        <v>0</v>
      </c>
      <c r="V109" s="185">
        <f t="shared" si="54"/>
        <v>0</v>
      </c>
      <c r="W109" s="266"/>
      <c r="X109" s="104"/>
      <c r="Y109" s="104"/>
      <c r="Z109" s="104"/>
      <c r="AA109" s="104"/>
      <c r="AB109" s="104"/>
      <c r="AC109" s="104"/>
      <c r="AD109" s="104"/>
      <c r="AE109" s="104"/>
    </row>
    <row r="110" ht="29.25" customHeight="1">
      <c r="A110" s="149" t="s">
        <v>215</v>
      </c>
      <c r="B110" s="275" t="s">
        <v>216</v>
      </c>
      <c r="C110" s="148"/>
      <c r="D110" s="149"/>
      <c r="E110" s="149"/>
      <c r="F110" s="149"/>
      <c r="G110" s="243"/>
      <c r="H110" s="255"/>
      <c r="I110" s="255"/>
      <c r="J110" s="255"/>
      <c r="K110" s="148"/>
      <c r="L110" s="276"/>
      <c r="M110" s="149"/>
      <c r="N110" s="148"/>
      <c r="O110" s="148"/>
      <c r="P110" s="148"/>
      <c r="Q110" s="148"/>
      <c r="R110" s="148"/>
      <c r="S110" s="149"/>
      <c r="T110" s="149"/>
      <c r="U110" s="215"/>
      <c r="V110" s="255"/>
      <c r="W110" s="217">
        <f>G110*40/100</f>
        <v>0</v>
      </c>
      <c r="X110" s="104"/>
      <c r="Y110" s="104"/>
      <c r="Z110" s="104"/>
      <c r="AA110" s="104"/>
      <c r="AB110" s="104"/>
      <c r="AC110" s="104"/>
      <c r="AD110" s="104"/>
      <c r="AE110" s="104"/>
    </row>
    <row r="111" ht="33.0" customHeight="1">
      <c r="A111" s="131"/>
      <c r="B111" s="260" t="s">
        <v>217</v>
      </c>
      <c r="C111" s="277"/>
      <c r="D111" s="223">
        <v>6.0</v>
      </c>
      <c r="E111" s="168"/>
      <c r="F111" s="278">
        <f t="shared" ref="F111:F118" si="55">G111/24</f>
        <v>2.333333333</v>
      </c>
      <c r="G111" s="221">
        <f t="shared" ref="G111:G115" si="56">SUM(H111+I111+J111+K111+M111)</f>
        <v>56</v>
      </c>
      <c r="H111" s="222">
        <v>22.0</v>
      </c>
      <c r="I111" s="220">
        <v>22.0</v>
      </c>
      <c r="J111" s="220"/>
      <c r="K111" s="220">
        <v>12.0</v>
      </c>
      <c r="L111" s="220">
        <v>18.0</v>
      </c>
      <c r="M111" s="168"/>
      <c r="N111" s="168"/>
      <c r="O111" s="168"/>
      <c r="P111" s="168"/>
      <c r="Q111" s="168"/>
      <c r="R111" s="168"/>
      <c r="S111" s="164"/>
      <c r="T111" s="223">
        <v>56.0</v>
      </c>
      <c r="U111" s="220"/>
      <c r="V111" s="168"/>
      <c r="W111" s="103"/>
      <c r="X111" s="104"/>
      <c r="Y111" s="104"/>
      <c r="Z111" s="104"/>
      <c r="AA111" s="104"/>
      <c r="AB111" s="225"/>
      <c r="AC111" s="226"/>
      <c r="AD111" s="104"/>
      <c r="AE111" s="104"/>
    </row>
    <row r="112" ht="28.5" customHeight="1">
      <c r="A112" s="131"/>
      <c r="B112" s="261" t="s">
        <v>218</v>
      </c>
      <c r="C112" s="277"/>
      <c r="D112" s="223">
        <v>6.0</v>
      </c>
      <c r="E112" s="168"/>
      <c r="F112" s="278">
        <f t="shared" si="55"/>
        <v>2.416666667</v>
      </c>
      <c r="G112" s="221">
        <f t="shared" si="56"/>
        <v>58</v>
      </c>
      <c r="H112" s="222">
        <v>24.0</v>
      </c>
      <c r="I112" s="220">
        <v>22.0</v>
      </c>
      <c r="J112" s="220"/>
      <c r="K112" s="220">
        <v>12.0</v>
      </c>
      <c r="L112" s="220">
        <v>18.0</v>
      </c>
      <c r="M112" s="168"/>
      <c r="N112" s="168"/>
      <c r="O112" s="168"/>
      <c r="P112" s="168"/>
      <c r="Q112" s="168"/>
      <c r="R112" s="168"/>
      <c r="S112" s="164"/>
      <c r="T112" s="223">
        <v>28.0</v>
      </c>
      <c r="U112" s="220">
        <v>30.0</v>
      </c>
      <c r="V112" s="168"/>
      <c r="W112" s="103"/>
      <c r="X112" s="104"/>
      <c r="Y112" s="104"/>
      <c r="Z112" s="104"/>
      <c r="AA112" s="104"/>
      <c r="AB112" s="225"/>
      <c r="AC112" s="226"/>
      <c r="AD112" s="104"/>
      <c r="AE112" s="104"/>
    </row>
    <row r="113" ht="28.5" customHeight="1">
      <c r="A113" s="131"/>
      <c r="B113" s="261" t="s">
        <v>219</v>
      </c>
      <c r="C113" s="277"/>
      <c r="D113" s="223">
        <v>6.7</v>
      </c>
      <c r="E113" s="168"/>
      <c r="F113" s="278">
        <f t="shared" si="55"/>
        <v>2.416666667</v>
      </c>
      <c r="G113" s="221">
        <f t="shared" si="56"/>
        <v>58</v>
      </c>
      <c r="H113" s="222">
        <v>24.0</v>
      </c>
      <c r="I113" s="220">
        <v>22.0</v>
      </c>
      <c r="J113" s="220"/>
      <c r="K113" s="220">
        <v>12.0</v>
      </c>
      <c r="L113" s="220">
        <v>18.0</v>
      </c>
      <c r="M113" s="168"/>
      <c r="N113" s="168"/>
      <c r="O113" s="168"/>
      <c r="P113" s="168"/>
      <c r="Q113" s="168"/>
      <c r="R113" s="168"/>
      <c r="S113" s="164"/>
      <c r="T113" s="223"/>
      <c r="U113" s="220">
        <v>58.0</v>
      </c>
      <c r="V113" s="168"/>
      <c r="W113" s="103"/>
      <c r="X113" s="104"/>
      <c r="Y113" s="104"/>
      <c r="Z113" s="104"/>
      <c r="AA113" s="104"/>
      <c r="AB113" s="225"/>
      <c r="AC113" s="231"/>
      <c r="AD113" s="104"/>
      <c r="AE113" s="104"/>
    </row>
    <row r="114" ht="28.5" customHeight="1">
      <c r="A114" s="131"/>
      <c r="B114" s="261" t="s">
        <v>220</v>
      </c>
      <c r="C114" s="277"/>
      <c r="D114" s="223">
        <v>7.0</v>
      </c>
      <c r="E114" s="168"/>
      <c r="F114" s="278">
        <f t="shared" si="55"/>
        <v>2.416666667</v>
      </c>
      <c r="G114" s="221">
        <f t="shared" si="56"/>
        <v>58</v>
      </c>
      <c r="H114" s="222">
        <v>24.0</v>
      </c>
      <c r="I114" s="220">
        <v>22.0</v>
      </c>
      <c r="J114" s="220"/>
      <c r="K114" s="220">
        <v>12.0</v>
      </c>
      <c r="L114" s="220">
        <v>18.0</v>
      </c>
      <c r="M114" s="168"/>
      <c r="N114" s="168"/>
      <c r="O114" s="168"/>
      <c r="P114" s="168"/>
      <c r="Q114" s="168"/>
      <c r="R114" s="168"/>
      <c r="S114" s="164"/>
      <c r="T114" s="223"/>
      <c r="U114" s="220">
        <v>58.0</v>
      </c>
      <c r="V114" s="168"/>
      <c r="W114" s="103"/>
      <c r="X114" s="104"/>
      <c r="Y114" s="279"/>
      <c r="Z114" s="104"/>
      <c r="AA114" s="104"/>
      <c r="AB114" s="225"/>
      <c r="AC114" s="231"/>
      <c r="AD114" s="104"/>
      <c r="AE114" s="104"/>
    </row>
    <row r="115" ht="28.5" customHeight="1">
      <c r="A115" s="131"/>
      <c r="B115" s="261" t="s">
        <v>221</v>
      </c>
      <c r="C115" s="277"/>
      <c r="D115" s="223">
        <v>7.0</v>
      </c>
      <c r="E115" s="168"/>
      <c r="F115" s="278">
        <f t="shared" si="55"/>
        <v>2.416666667</v>
      </c>
      <c r="G115" s="221">
        <f t="shared" si="56"/>
        <v>58</v>
      </c>
      <c r="H115" s="222">
        <v>24.0</v>
      </c>
      <c r="I115" s="220">
        <v>22.0</v>
      </c>
      <c r="J115" s="220"/>
      <c r="K115" s="220">
        <v>12.0</v>
      </c>
      <c r="L115" s="220">
        <v>18.0</v>
      </c>
      <c r="M115" s="168"/>
      <c r="N115" s="168"/>
      <c r="O115" s="168"/>
      <c r="P115" s="168"/>
      <c r="Q115" s="168"/>
      <c r="R115" s="168"/>
      <c r="S115" s="164"/>
      <c r="T115" s="223"/>
      <c r="U115" s="220">
        <v>58.0</v>
      </c>
      <c r="V115" s="220"/>
      <c r="W115" s="103"/>
      <c r="X115" s="104"/>
      <c r="Y115" s="104"/>
      <c r="Z115" s="104"/>
      <c r="AA115" s="104"/>
      <c r="AB115" s="225"/>
      <c r="AC115" s="231"/>
      <c r="AD115" s="104"/>
      <c r="AE115" s="104"/>
    </row>
    <row r="116" ht="18.75" customHeight="1">
      <c r="A116" s="252"/>
      <c r="B116" s="200" t="s">
        <v>138</v>
      </c>
      <c r="C116" s="232"/>
      <c r="D116" s="172"/>
      <c r="E116" s="232"/>
      <c r="F116" s="193">
        <f t="shared" si="55"/>
        <v>12</v>
      </c>
      <c r="G116" s="176">
        <f t="shared" ref="G116:V116" si="57">SUM(G111:G115)</f>
        <v>288</v>
      </c>
      <c r="H116" s="176">
        <f t="shared" si="57"/>
        <v>118</v>
      </c>
      <c r="I116" s="176">
        <f t="shared" si="57"/>
        <v>110</v>
      </c>
      <c r="J116" s="176">
        <f t="shared" si="57"/>
        <v>0</v>
      </c>
      <c r="K116" s="176">
        <f t="shared" si="57"/>
        <v>60</v>
      </c>
      <c r="L116" s="176">
        <f t="shared" si="57"/>
        <v>90</v>
      </c>
      <c r="M116" s="176">
        <f t="shared" si="57"/>
        <v>0</v>
      </c>
      <c r="N116" s="176">
        <f t="shared" si="57"/>
        <v>0</v>
      </c>
      <c r="O116" s="176">
        <f t="shared" si="57"/>
        <v>0</v>
      </c>
      <c r="P116" s="176">
        <f t="shared" si="57"/>
        <v>0</v>
      </c>
      <c r="Q116" s="176">
        <f t="shared" si="57"/>
        <v>0</v>
      </c>
      <c r="R116" s="176">
        <f t="shared" si="57"/>
        <v>0</v>
      </c>
      <c r="S116" s="176">
        <f t="shared" si="57"/>
        <v>0</v>
      </c>
      <c r="T116" s="176">
        <f t="shared" si="57"/>
        <v>84</v>
      </c>
      <c r="U116" s="176">
        <f t="shared" si="57"/>
        <v>204</v>
      </c>
      <c r="V116" s="176">
        <f t="shared" si="57"/>
        <v>0</v>
      </c>
      <c r="W116" s="103"/>
      <c r="X116" s="104"/>
      <c r="Y116" s="104"/>
      <c r="Z116" s="104"/>
      <c r="AA116" s="104"/>
      <c r="AB116" s="233"/>
      <c r="AC116" s="226"/>
      <c r="AD116" s="104"/>
      <c r="AE116" s="104"/>
    </row>
    <row r="117" ht="18.75" customHeight="1">
      <c r="A117" s="252"/>
      <c r="B117" s="249" t="s">
        <v>186</v>
      </c>
      <c r="C117" s="235"/>
      <c r="D117" s="172"/>
      <c r="E117" s="232"/>
      <c r="F117" s="193">
        <f t="shared" si="55"/>
        <v>8</v>
      </c>
      <c r="G117" s="176">
        <f>SUM(M111:M117)</f>
        <v>192</v>
      </c>
      <c r="H117" s="232"/>
      <c r="I117" s="232"/>
      <c r="J117" s="232"/>
      <c r="K117" s="232"/>
      <c r="L117" s="232"/>
      <c r="M117" s="177">
        <f>SUM(O117:V117)</f>
        <v>192</v>
      </c>
      <c r="N117" s="177"/>
      <c r="O117" s="177"/>
      <c r="P117" s="177"/>
      <c r="Q117" s="177"/>
      <c r="R117" s="177"/>
      <c r="S117" s="177"/>
      <c r="T117" s="236"/>
      <c r="U117" s="237">
        <v>192.0</v>
      </c>
      <c r="V117" s="280"/>
      <c r="W117" s="230"/>
      <c r="X117" s="104"/>
      <c r="Y117" s="104"/>
      <c r="Z117" s="104"/>
      <c r="AA117" s="104"/>
      <c r="AB117" s="225"/>
      <c r="AC117" s="231"/>
      <c r="AD117" s="104"/>
      <c r="AE117" s="104"/>
    </row>
    <row r="118" ht="18.75" customHeight="1">
      <c r="A118" s="254"/>
      <c r="B118" s="203" t="s">
        <v>222</v>
      </c>
      <c r="C118" s="239">
        <v>7.0</v>
      </c>
      <c r="D118" s="185"/>
      <c r="E118" s="240"/>
      <c r="F118" s="185">
        <f t="shared" si="55"/>
        <v>20</v>
      </c>
      <c r="G118" s="185">
        <f t="shared" ref="G118:V118" si="58">SUM(G116:G117)</f>
        <v>480</v>
      </c>
      <c r="H118" s="185">
        <f t="shared" si="58"/>
        <v>118</v>
      </c>
      <c r="I118" s="185">
        <f t="shared" si="58"/>
        <v>110</v>
      </c>
      <c r="J118" s="185">
        <f t="shared" si="58"/>
        <v>0</v>
      </c>
      <c r="K118" s="185">
        <f t="shared" si="58"/>
        <v>60</v>
      </c>
      <c r="L118" s="185">
        <f t="shared" si="58"/>
        <v>90</v>
      </c>
      <c r="M118" s="185">
        <f t="shared" si="58"/>
        <v>192</v>
      </c>
      <c r="N118" s="185">
        <f t="shared" si="58"/>
        <v>0</v>
      </c>
      <c r="O118" s="185">
        <f t="shared" si="58"/>
        <v>0</v>
      </c>
      <c r="P118" s="185">
        <f t="shared" si="58"/>
        <v>0</v>
      </c>
      <c r="Q118" s="185">
        <f t="shared" si="58"/>
        <v>0</v>
      </c>
      <c r="R118" s="185">
        <f t="shared" si="58"/>
        <v>0</v>
      </c>
      <c r="S118" s="185">
        <f t="shared" si="58"/>
        <v>0</v>
      </c>
      <c r="T118" s="185">
        <f t="shared" si="58"/>
        <v>84</v>
      </c>
      <c r="U118" s="185">
        <f t="shared" si="58"/>
        <v>396</v>
      </c>
      <c r="V118" s="185">
        <f t="shared" si="58"/>
        <v>0</v>
      </c>
      <c r="W118" s="103"/>
      <c r="X118" s="104"/>
      <c r="Y118" s="104"/>
      <c r="Z118" s="104"/>
      <c r="AA118" s="104"/>
      <c r="AB118" s="104"/>
      <c r="AC118" s="104"/>
      <c r="AD118" s="104"/>
      <c r="AE118" s="104"/>
    </row>
    <row r="119" ht="15.75" customHeight="1">
      <c r="A119" s="213" t="s">
        <v>223</v>
      </c>
      <c r="B119" s="250" t="s">
        <v>224</v>
      </c>
      <c r="C119" s="150"/>
      <c r="D119" s="148"/>
      <c r="E119" s="150"/>
      <c r="F119" s="149"/>
      <c r="G119" s="243"/>
      <c r="H119" s="255"/>
      <c r="I119" s="255"/>
      <c r="J119" s="255"/>
      <c r="K119" s="150"/>
      <c r="L119" s="243"/>
      <c r="M119" s="149"/>
      <c r="N119" s="150"/>
      <c r="O119" s="150"/>
      <c r="P119" s="150"/>
      <c r="Q119" s="150"/>
      <c r="R119" s="150"/>
      <c r="S119" s="150"/>
      <c r="T119" s="281"/>
      <c r="U119" s="149"/>
      <c r="V119" s="255"/>
      <c r="W119" s="178">
        <f>G119*40/100</f>
        <v>0</v>
      </c>
      <c r="X119" s="104"/>
      <c r="Y119" s="104"/>
      <c r="Z119" s="104"/>
      <c r="AA119" s="104"/>
      <c r="AB119" s="104"/>
      <c r="AC119" s="104"/>
      <c r="AD119" s="104"/>
      <c r="AE119" s="104"/>
    </row>
    <row r="120" ht="30.0" customHeight="1">
      <c r="A120" s="165"/>
      <c r="B120" s="260" t="s">
        <v>225</v>
      </c>
      <c r="C120" s="168"/>
      <c r="D120" s="223">
        <v>7.0</v>
      </c>
      <c r="E120" s="168"/>
      <c r="F120" s="278">
        <f t="shared" ref="F120:F135" si="59">G120/24</f>
        <v>2.5</v>
      </c>
      <c r="G120" s="221">
        <f t="shared" ref="G120:G124" si="60">SUM(H120+I120+J120+K120+M120)</f>
        <v>60</v>
      </c>
      <c r="H120" s="222">
        <v>22.0</v>
      </c>
      <c r="I120" s="220">
        <v>22.0</v>
      </c>
      <c r="J120" s="220">
        <v>4.0</v>
      </c>
      <c r="K120" s="220">
        <v>12.0</v>
      </c>
      <c r="L120" s="220">
        <v>18.0</v>
      </c>
      <c r="M120" s="168"/>
      <c r="N120" s="168"/>
      <c r="O120" s="168"/>
      <c r="P120" s="168"/>
      <c r="Q120" s="168"/>
      <c r="R120" s="168"/>
      <c r="S120" s="168"/>
      <c r="T120" s="265"/>
      <c r="U120" s="220">
        <v>60.0</v>
      </c>
      <c r="V120" s="223"/>
      <c r="W120" s="103"/>
      <c r="X120" s="104"/>
      <c r="Y120" s="104"/>
      <c r="Z120" s="104"/>
      <c r="AA120" s="104"/>
      <c r="AB120" s="230"/>
      <c r="AC120" s="231"/>
      <c r="AD120" s="104"/>
      <c r="AE120" s="104"/>
    </row>
    <row r="121" ht="23.25" customHeight="1">
      <c r="A121" s="165"/>
      <c r="B121" s="261" t="s">
        <v>226</v>
      </c>
      <c r="C121" s="168"/>
      <c r="D121" s="223">
        <v>7.0</v>
      </c>
      <c r="E121" s="168"/>
      <c r="F121" s="278">
        <f t="shared" si="59"/>
        <v>2.5</v>
      </c>
      <c r="G121" s="221">
        <f t="shared" si="60"/>
        <v>60</v>
      </c>
      <c r="H121" s="222">
        <v>22.0</v>
      </c>
      <c r="I121" s="220">
        <v>22.0</v>
      </c>
      <c r="J121" s="220">
        <v>4.0</v>
      </c>
      <c r="K121" s="220">
        <v>12.0</v>
      </c>
      <c r="L121" s="220">
        <v>18.0</v>
      </c>
      <c r="M121" s="168"/>
      <c r="N121" s="168"/>
      <c r="O121" s="168"/>
      <c r="P121" s="168"/>
      <c r="Q121" s="168"/>
      <c r="R121" s="168"/>
      <c r="S121" s="168"/>
      <c r="T121" s="265"/>
      <c r="U121" s="220">
        <v>60.0</v>
      </c>
      <c r="V121" s="164"/>
      <c r="W121" s="103"/>
      <c r="X121" s="104"/>
      <c r="Y121" s="104"/>
      <c r="Z121" s="104"/>
      <c r="AA121" s="104"/>
      <c r="AB121" s="230"/>
      <c r="AC121" s="231"/>
      <c r="AD121" s="104"/>
      <c r="AE121" s="104"/>
    </row>
    <row r="122" ht="21.0" customHeight="1">
      <c r="A122" s="165"/>
      <c r="B122" s="261" t="s">
        <v>227</v>
      </c>
      <c r="C122" s="168"/>
      <c r="D122" s="223">
        <v>7.0</v>
      </c>
      <c r="E122" s="168"/>
      <c r="F122" s="278">
        <f t="shared" si="59"/>
        <v>2.5</v>
      </c>
      <c r="G122" s="221">
        <f t="shared" si="60"/>
        <v>60</v>
      </c>
      <c r="H122" s="222">
        <v>22.0</v>
      </c>
      <c r="I122" s="220">
        <v>22.0</v>
      </c>
      <c r="J122" s="220">
        <v>4.0</v>
      </c>
      <c r="K122" s="220">
        <v>12.0</v>
      </c>
      <c r="L122" s="220">
        <v>18.0</v>
      </c>
      <c r="M122" s="168"/>
      <c r="N122" s="168"/>
      <c r="O122" s="168"/>
      <c r="P122" s="168"/>
      <c r="Q122" s="168"/>
      <c r="R122" s="168"/>
      <c r="S122" s="168"/>
      <c r="T122" s="265"/>
      <c r="U122" s="220">
        <v>60.0</v>
      </c>
      <c r="V122" s="223"/>
      <c r="W122" s="103"/>
      <c r="X122" s="104"/>
      <c r="Y122" s="104"/>
      <c r="Z122" s="104"/>
      <c r="AA122" s="104"/>
      <c r="AB122" s="230"/>
      <c r="AC122" s="231"/>
      <c r="AD122" s="104"/>
      <c r="AE122" s="104"/>
    </row>
    <row r="123" ht="36.0" customHeight="1">
      <c r="A123" s="165"/>
      <c r="B123" s="261" t="s">
        <v>228</v>
      </c>
      <c r="C123" s="168"/>
      <c r="D123" s="223">
        <v>7.8</v>
      </c>
      <c r="E123" s="168"/>
      <c r="F123" s="278">
        <f t="shared" si="59"/>
        <v>2.5</v>
      </c>
      <c r="G123" s="221">
        <f t="shared" si="60"/>
        <v>60</v>
      </c>
      <c r="H123" s="222">
        <v>22.0</v>
      </c>
      <c r="I123" s="220">
        <v>20.0</v>
      </c>
      <c r="J123" s="220">
        <v>6.0</v>
      </c>
      <c r="K123" s="220">
        <v>12.0</v>
      </c>
      <c r="L123" s="220">
        <v>18.0</v>
      </c>
      <c r="M123" s="168"/>
      <c r="N123" s="168"/>
      <c r="O123" s="168"/>
      <c r="P123" s="168"/>
      <c r="Q123" s="168"/>
      <c r="R123" s="168"/>
      <c r="S123" s="168"/>
      <c r="T123" s="265"/>
      <c r="U123" s="220">
        <v>12.0</v>
      </c>
      <c r="V123" s="223">
        <v>48.0</v>
      </c>
      <c r="W123" s="103"/>
      <c r="X123" s="104"/>
      <c r="Y123" s="104"/>
      <c r="Z123" s="104"/>
      <c r="AA123" s="104"/>
      <c r="AB123" s="230"/>
      <c r="AC123" s="231"/>
      <c r="AD123" s="104"/>
      <c r="AE123" s="104"/>
    </row>
    <row r="124" ht="35.25" customHeight="1">
      <c r="A124" s="165"/>
      <c r="B124" s="261" t="s">
        <v>229</v>
      </c>
      <c r="C124" s="168"/>
      <c r="D124" s="223">
        <v>8.0</v>
      </c>
      <c r="E124" s="168"/>
      <c r="F124" s="278">
        <f t="shared" si="59"/>
        <v>2.583333333</v>
      </c>
      <c r="G124" s="221">
        <f t="shared" si="60"/>
        <v>62</v>
      </c>
      <c r="H124" s="222">
        <v>22.0</v>
      </c>
      <c r="I124" s="220">
        <v>22.0</v>
      </c>
      <c r="J124" s="220">
        <v>6.0</v>
      </c>
      <c r="K124" s="220">
        <v>12.0</v>
      </c>
      <c r="L124" s="220">
        <v>18.0</v>
      </c>
      <c r="M124" s="168"/>
      <c r="N124" s="168"/>
      <c r="O124" s="168"/>
      <c r="P124" s="168"/>
      <c r="Q124" s="168"/>
      <c r="R124" s="168"/>
      <c r="S124" s="168"/>
      <c r="T124" s="282"/>
      <c r="U124" s="220"/>
      <c r="V124" s="223">
        <v>62.0</v>
      </c>
      <c r="W124" s="103"/>
      <c r="X124" s="104"/>
      <c r="Y124" s="104"/>
      <c r="Z124" s="104"/>
      <c r="AA124" s="104"/>
      <c r="AB124" s="230"/>
      <c r="AC124" s="231"/>
      <c r="AD124" s="104"/>
      <c r="AE124" s="104"/>
    </row>
    <row r="125" ht="20.25" customHeight="1">
      <c r="A125" s="170"/>
      <c r="B125" s="200" t="s">
        <v>138</v>
      </c>
      <c r="C125" s="232"/>
      <c r="D125" s="172"/>
      <c r="E125" s="232"/>
      <c r="F125" s="193">
        <f t="shared" si="59"/>
        <v>12.58333333</v>
      </c>
      <c r="G125" s="176">
        <f t="shared" ref="G125:V125" si="61">SUM(G120:G124)</f>
        <v>302</v>
      </c>
      <c r="H125" s="176">
        <f t="shared" si="61"/>
        <v>110</v>
      </c>
      <c r="I125" s="176">
        <f t="shared" si="61"/>
        <v>108</v>
      </c>
      <c r="J125" s="176">
        <f t="shared" si="61"/>
        <v>24</v>
      </c>
      <c r="K125" s="176">
        <f t="shared" si="61"/>
        <v>60</v>
      </c>
      <c r="L125" s="176">
        <f t="shared" si="61"/>
        <v>90</v>
      </c>
      <c r="M125" s="176">
        <f t="shared" si="61"/>
        <v>0</v>
      </c>
      <c r="N125" s="176">
        <f t="shared" si="61"/>
        <v>0</v>
      </c>
      <c r="O125" s="176">
        <f t="shared" si="61"/>
        <v>0</v>
      </c>
      <c r="P125" s="176">
        <f t="shared" si="61"/>
        <v>0</v>
      </c>
      <c r="Q125" s="176">
        <f t="shared" si="61"/>
        <v>0</v>
      </c>
      <c r="R125" s="176">
        <f t="shared" si="61"/>
        <v>0</v>
      </c>
      <c r="S125" s="176">
        <f t="shared" si="61"/>
        <v>0</v>
      </c>
      <c r="T125" s="176">
        <f t="shared" si="61"/>
        <v>0</v>
      </c>
      <c r="U125" s="176">
        <f t="shared" si="61"/>
        <v>192</v>
      </c>
      <c r="V125" s="176">
        <f t="shared" si="61"/>
        <v>110</v>
      </c>
      <c r="W125" s="103"/>
      <c r="X125" s="104"/>
      <c r="Y125" s="104"/>
      <c r="Z125" s="104"/>
      <c r="AA125" s="104"/>
      <c r="AB125" s="230"/>
      <c r="AC125" s="226"/>
      <c r="AD125" s="104"/>
      <c r="AE125" s="104"/>
    </row>
    <row r="126" ht="20.25" customHeight="1">
      <c r="A126" s="170"/>
      <c r="B126" s="234" t="s">
        <v>186</v>
      </c>
      <c r="C126" s="232"/>
      <c r="D126" s="172"/>
      <c r="E126" s="232"/>
      <c r="F126" s="193">
        <f t="shared" si="59"/>
        <v>8.416666667</v>
      </c>
      <c r="G126" s="176">
        <f>SUM(M120:M126)</f>
        <v>202</v>
      </c>
      <c r="H126" s="177"/>
      <c r="I126" s="177"/>
      <c r="J126" s="177"/>
      <c r="K126" s="177"/>
      <c r="L126" s="177"/>
      <c r="M126" s="177">
        <f>SUM(O126:V126)</f>
        <v>202</v>
      </c>
      <c r="N126" s="177"/>
      <c r="O126" s="177"/>
      <c r="P126" s="177"/>
      <c r="Q126" s="177"/>
      <c r="R126" s="177"/>
      <c r="S126" s="177"/>
      <c r="T126" s="176"/>
      <c r="U126" s="237"/>
      <c r="V126" s="268">
        <v>202.0</v>
      </c>
      <c r="W126" s="103"/>
      <c r="X126" s="104"/>
      <c r="Y126" s="104"/>
      <c r="Z126" s="104"/>
      <c r="AA126" s="104"/>
      <c r="AB126" s="230"/>
      <c r="AC126" s="231"/>
      <c r="AD126" s="104"/>
      <c r="AE126" s="104"/>
    </row>
    <row r="127" ht="20.25" customHeight="1">
      <c r="A127" s="183"/>
      <c r="B127" s="203" t="s">
        <v>230</v>
      </c>
      <c r="C127" s="240"/>
      <c r="D127" s="283">
        <v>8.0</v>
      </c>
      <c r="E127" s="240"/>
      <c r="F127" s="187">
        <f t="shared" si="59"/>
        <v>21</v>
      </c>
      <c r="G127" s="185">
        <f t="shared" ref="G127:V127" si="62">SUM(G125:G126)</f>
        <v>504</v>
      </c>
      <c r="H127" s="185">
        <f t="shared" si="62"/>
        <v>110</v>
      </c>
      <c r="I127" s="185">
        <f t="shared" si="62"/>
        <v>108</v>
      </c>
      <c r="J127" s="185">
        <f t="shared" si="62"/>
        <v>24</v>
      </c>
      <c r="K127" s="185">
        <f t="shared" si="62"/>
        <v>60</v>
      </c>
      <c r="L127" s="185">
        <f t="shared" si="62"/>
        <v>90</v>
      </c>
      <c r="M127" s="185">
        <f t="shared" si="62"/>
        <v>202</v>
      </c>
      <c r="N127" s="185">
        <f t="shared" si="62"/>
        <v>0</v>
      </c>
      <c r="O127" s="185">
        <f t="shared" si="62"/>
        <v>0</v>
      </c>
      <c r="P127" s="185">
        <f t="shared" si="62"/>
        <v>0</v>
      </c>
      <c r="Q127" s="185">
        <f t="shared" si="62"/>
        <v>0</v>
      </c>
      <c r="R127" s="185">
        <f t="shared" si="62"/>
        <v>0</v>
      </c>
      <c r="S127" s="185">
        <f t="shared" si="62"/>
        <v>0</v>
      </c>
      <c r="T127" s="185">
        <f t="shared" si="62"/>
        <v>0</v>
      </c>
      <c r="U127" s="185">
        <f t="shared" si="62"/>
        <v>192</v>
      </c>
      <c r="V127" s="185">
        <f t="shared" si="62"/>
        <v>312</v>
      </c>
      <c r="W127" s="103"/>
      <c r="X127" s="104"/>
      <c r="Y127" s="104"/>
      <c r="Z127" s="104"/>
      <c r="AA127" s="104"/>
      <c r="AB127" s="104"/>
      <c r="AC127" s="104"/>
      <c r="AD127" s="104"/>
      <c r="AE127" s="104"/>
    </row>
    <row r="128" ht="21.75" customHeight="1">
      <c r="A128" s="284"/>
      <c r="B128" s="285" t="s">
        <v>231</v>
      </c>
      <c r="C128" s="286"/>
      <c r="D128" s="287"/>
      <c r="E128" s="286"/>
      <c r="F128" s="288">
        <f t="shared" si="59"/>
        <v>141</v>
      </c>
      <c r="G128" s="289">
        <f t="shared" ref="G128:V128" si="63">G127+G118+G109+G99+G90+G68+G79</f>
        <v>3384</v>
      </c>
      <c r="H128" s="289">
        <f t="shared" si="63"/>
        <v>748</v>
      </c>
      <c r="I128" s="289">
        <f t="shared" si="63"/>
        <v>706</v>
      </c>
      <c r="J128" s="289">
        <f t="shared" si="63"/>
        <v>72</v>
      </c>
      <c r="K128" s="289">
        <f t="shared" si="63"/>
        <v>504</v>
      </c>
      <c r="L128" s="289">
        <f t="shared" si="63"/>
        <v>816</v>
      </c>
      <c r="M128" s="289">
        <f t="shared" si="63"/>
        <v>1354</v>
      </c>
      <c r="N128" s="289">
        <f t="shared" si="63"/>
        <v>0</v>
      </c>
      <c r="O128" s="289">
        <f t="shared" si="63"/>
        <v>0</v>
      </c>
      <c r="P128" s="289">
        <f t="shared" si="63"/>
        <v>0</v>
      </c>
      <c r="Q128" s="289">
        <f t="shared" si="63"/>
        <v>324</v>
      </c>
      <c r="R128" s="289">
        <f t="shared" si="63"/>
        <v>756</v>
      </c>
      <c r="S128" s="289">
        <f t="shared" si="63"/>
        <v>588</v>
      </c>
      <c r="T128" s="289">
        <f t="shared" si="63"/>
        <v>816</v>
      </c>
      <c r="U128" s="289">
        <f t="shared" si="63"/>
        <v>588</v>
      </c>
      <c r="V128" s="289">
        <f t="shared" si="63"/>
        <v>312</v>
      </c>
      <c r="W128" s="224"/>
      <c r="X128" s="290"/>
      <c r="Y128" s="104"/>
      <c r="Z128" s="104"/>
      <c r="AA128" s="104"/>
      <c r="AB128" s="104"/>
      <c r="AC128" s="104"/>
      <c r="AD128" s="104"/>
      <c r="AE128" s="104"/>
    </row>
    <row r="129" ht="15.75" customHeight="1">
      <c r="A129" s="291" t="s">
        <v>37</v>
      </c>
      <c r="B129" s="292" t="s">
        <v>232</v>
      </c>
      <c r="C129" s="251"/>
      <c r="D129" s="293"/>
      <c r="E129" s="251"/>
      <c r="F129" s="294">
        <f t="shared" si="59"/>
        <v>18</v>
      </c>
      <c r="G129" s="295">
        <v>432.0</v>
      </c>
      <c r="H129" s="251"/>
      <c r="I129" s="251"/>
      <c r="J129" s="251"/>
      <c r="K129" s="251"/>
      <c r="L129" s="251"/>
      <c r="M129" s="296">
        <v>432.0</v>
      </c>
      <c r="N129" s="251"/>
      <c r="O129" s="251"/>
      <c r="P129" s="251"/>
      <c r="Q129" s="251"/>
      <c r="R129" s="251"/>
      <c r="S129" s="297"/>
      <c r="T129" s="131"/>
      <c r="U129" s="156"/>
      <c r="V129" s="156">
        <v>432.0</v>
      </c>
      <c r="W129" s="224"/>
      <c r="X129" s="104"/>
      <c r="Y129" s="104"/>
      <c r="Z129" s="104"/>
      <c r="AA129" s="104"/>
      <c r="AB129" s="104"/>
      <c r="AC129" s="104"/>
      <c r="AD129" s="104"/>
      <c r="AE129" s="104"/>
    </row>
    <row r="130" ht="15.75" customHeight="1">
      <c r="A130" s="291" t="s">
        <v>233</v>
      </c>
      <c r="B130" s="292" t="s">
        <v>234</v>
      </c>
      <c r="C130" s="251"/>
      <c r="D130" s="156"/>
      <c r="E130" s="251"/>
      <c r="F130" s="294">
        <f t="shared" si="59"/>
        <v>2</v>
      </c>
      <c r="G130" s="298">
        <v>48.0</v>
      </c>
      <c r="H130" s="251"/>
      <c r="I130" s="251"/>
      <c r="J130" s="251"/>
      <c r="K130" s="251"/>
      <c r="L130" s="251"/>
      <c r="M130" s="299">
        <v>48.0</v>
      </c>
      <c r="N130" s="251"/>
      <c r="O130" s="251"/>
      <c r="P130" s="251"/>
      <c r="Q130" s="251"/>
      <c r="R130" s="251"/>
      <c r="S130" s="297"/>
      <c r="T130" s="124"/>
      <c r="U130" s="156"/>
      <c r="V130" s="220">
        <v>48.0</v>
      </c>
      <c r="W130" s="224"/>
      <c r="X130" s="104"/>
      <c r="Y130" s="104"/>
      <c r="Z130" s="104"/>
      <c r="AA130" s="104"/>
      <c r="AB130" s="104"/>
      <c r="AC130" s="104"/>
      <c r="AD130" s="104"/>
      <c r="AE130" s="104"/>
    </row>
    <row r="131" ht="15.75" customHeight="1">
      <c r="A131" s="300" t="s">
        <v>132</v>
      </c>
      <c r="B131" s="301" t="s">
        <v>235</v>
      </c>
      <c r="C131" s="251"/>
      <c r="D131" s="230"/>
      <c r="E131" s="251"/>
      <c r="F131" s="302">
        <f t="shared" si="59"/>
        <v>3.5</v>
      </c>
      <c r="G131" s="303">
        <f t="shared" ref="G131:G133" si="64">SUM(O131:V131)</f>
        <v>84</v>
      </c>
      <c r="H131" s="300"/>
      <c r="I131" s="251"/>
      <c r="J131" s="251"/>
      <c r="K131" s="251"/>
      <c r="L131" s="251"/>
      <c r="M131" s="251"/>
      <c r="N131" s="251"/>
      <c r="O131" s="251"/>
      <c r="P131" s="123"/>
      <c r="Q131" s="251"/>
      <c r="R131" s="304">
        <v>24.0</v>
      </c>
      <c r="S131" s="305">
        <v>12.0</v>
      </c>
      <c r="T131" s="306">
        <v>24.0</v>
      </c>
      <c r="U131" s="307">
        <v>12.0</v>
      </c>
      <c r="V131" s="308">
        <v>12.0</v>
      </c>
      <c r="W131" s="224"/>
      <c r="X131" s="104"/>
      <c r="Y131" s="104"/>
      <c r="Z131" s="104"/>
      <c r="AA131" s="104"/>
      <c r="AB131" s="104"/>
      <c r="AC131" s="104"/>
      <c r="AD131" s="104"/>
      <c r="AE131" s="104"/>
    </row>
    <row r="132" ht="15.75" customHeight="1">
      <c r="A132" s="300" t="s">
        <v>236</v>
      </c>
      <c r="B132" s="301" t="s">
        <v>57</v>
      </c>
      <c r="C132" s="251"/>
      <c r="D132" s="251"/>
      <c r="E132" s="251"/>
      <c r="F132" s="302">
        <f t="shared" si="59"/>
        <v>1.5</v>
      </c>
      <c r="G132" s="295">
        <f t="shared" si="64"/>
        <v>36</v>
      </c>
      <c r="H132" s="300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124"/>
      <c r="U132" s="156"/>
      <c r="V132" s="309">
        <v>36.0</v>
      </c>
      <c r="W132" s="224"/>
      <c r="X132" s="104"/>
      <c r="Y132" s="104"/>
      <c r="Z132" s="104"/>
      <c r="AA132" s="104"/>
      <c r="AB132" s="104"/>
      <c r="AC132" s="104"/>
      <c r="AD132" s="104"/>
      <c r="AE132" s="104"/>
    </row>
    <row r="133" ht="15.75" customHeight="1">
      <c r="A133" s="310"/>
      <c r="B133" s="311" t="s">
        <v>237</v>
      </c>
      <c r="C133" s="312"/>
      <c r="D133" s="312"/>
      <c r="E133" s="312"/>
      <c r="F133" s="313">
        <f t="shared" si="59"/>
        <v>240</v>
      </c>
      <c r="G133" s="314">
        <f t="shared" si="64"/>
        <v>5760</v>
      </c>
      <c r="H133" s="314">
        <f t="shared" ref="H133:V133" si="65">H26+H57+H128+H129+H130+H131+H132</f>
        <v>1296</v>
      </c>
      <c r="I133" s="314">
        <f t="shared" si="65"/>
        <v>1576</v>
      </c>
      <c r="J133" s="314">
        <f t="shared" si="65"/>
        <v>72</v>
      </c>
      <c r="K133" s="314">
        <f t="shared" si="65"/>
        <v>790</v>
      </c>
      <c r="L133" s="314">
        <f t="shared" si="65"/>
        <v>1440</v>
      </c>
      <c r="M133" s="314">
        <f t="shared" si="65"/>
        <v>1834</v>
      </c>
      <c r="N133" s="314">
        <f t="shared" si="65"/>
        <v>0</v>
      </c>
      <c r="O133" s="314">
        <f t="shared" si="65"/>
        <v>600</v>
      </c>
      <c r="P133" s="314">
        <f t="shared" si="65"/>
        <v>840</v>
      </c>
      <c r="Q133" s="314">
        <f t="shared" si="65"/>
        <v>600</v>
      </c>
      <c r="R133" s="314">
        <f t="shared" si="65"/>
        <v>840</v>
      </c>
      <c r="S133" s="315">
        <f t="shared" si="65"/>
        <v>600</v>
      </c>
      <c r="T133" s="314">
        <f t="shared" si="65"/>
        <v>840</v>
      </c>
      <c r="U133" s="314">
        <f t="shared" si="65"/>
        <v>600</v>
      </c>
      <c r="V133" s="314">
        <f t="shared" si="65"/>
        <v>840</v>
      </c>
      <c r="W133" s="224"/>
      <c r="X133" s="104"/>
      <c r="Y133" s="104"/>
      <c r="Z133" s="104"/>
      <c r="AA133" s="104"/>
      <c r="AB133" s="104"/>
      <c r="AC133" s="104"/>
      <c r="AD133" s="104"/>
      <c r="AE133" s="104"/>
    </row>
    <row r="134" ht="15.75" customHeight="1">
      <c r="A134" s="316" t="s">
        <v>32</v>
      </c>
      <c r="B134" s="317" t="s">
        <v>238</v>
      </c>
      <c r="C134" s="318"/>
      <c r="D134" s="318"/>
      <c r="E134" s="318"/>
      <c r="F134" s="319">
        <f t="shared" si="59"/>
        <v>16</v>
      </c>
      <c r="G134" s="320">
        <f t="shared" ref="G134:G135" si="66">Q134+R134+S134+T134+U134+V134+O134+P134</f>
        <v>384</v>
      </c>
      <c r="H134" s="320">
        <f t="shared" ref="H134:H135" si="67">O134+P134+Q134+R134+S134+T134+U134+V134</f>
        <v>384</v>
      </c>
      <c r="I134" s="318"/>
      <c r="J134" s="318"/>
      <c r="K134" s="318"/>
      <c r="L134" s="318"/>
      <c r="M134" s="318"/>
      <c r="N134" s="318"/>
      <c r="O134" s="321">
        <v>48.0</v>
      </c>
      <c r="P134" s="321">
        <v>48.0</v>
      </c>
      <c r="Q134" s="322">
        <v>48.0</v>
      </c>
      <c r="R134" s="322">
        <v>48.0</v>
      </c>
      <c r="S134" s="322">
        <v>48.0</v>
      </c>
      <c r="T134" s="322">
        <v>48.0</v>
      </c>
      <c r="U134" s="323">
        <v>48.0</v>
      </c>
      <c r="V134" s="323">
        <v>48.0</v>
      </c>
      <c r="W134" s="103"/>
      <c r="X134" s="104"/>
      <c r="Y134" s="104"/>
      <c r="Z134" s="104"/>
      <c r="AA134" s="104"/>
      <c r="AB134" s="104"/>
      <c r="AC134" s="104"/>
      <c r="AD134" s="104"/>
      <c r="AE134" s="104"/>
    </row>
    <row r="135" ht="15.75" customHeight="1">
      <c r="A135" s="316" t="s">
        <v>239</v>
      </c>
      <c r="B135" s="317" t="s">
        <v>240</v>
      </c>
      <c r="C135" s="318"/>
      <c r="D135" s="318"/>
      <c r="E135" s="318"/>
      <c r="F135" s="319">
        <f t="shared" si="59"/>
        <v>20</v>
      </c>
      <c r="G135" s="320">
        <f t="shared" si="66"/>
        <v>480</v>
      </c>
      <c r="H135" s="320">
        <f t="shared" si="67"/>
        <v>480</v>
      </c>
      <c r="I135" s="318"/>
      <c r="J135" s="318"/>
      <c r="K135" s="318"/>
      <c r="L135" s="318"/>
      <c r="M135" s="318"/>
      <c r="N135" s="318"/>
      <c r="O135" s="321">
        <v>42.0</v>
      </c>
      <c r="P135" s="321">
        <v>78.0</v>
      </c>
      <c r="Q135" s="322">
        <v>42.0</v>
      </c>
      <c r="R135" s="322">
        <v>78.0</v>
      </c>
      <c r="S135" s="322">
        <v>42.0</v>
      </c>
      <c r="T135" s="322">
        <v>78.0</v>
      </c>
      <c r="U135" s="323">
        <v>42.0</v>
      </c>
      <c r="V135" s="323">
        <v>78.0</v>
      </c>
      <c r="W135" s="103"/>
      <c r="X135" s="104"/>
      <c r="Y135" s="104"/>
      <c r="Z135" s="104"/>
      <c r="AA135" s="104"/>
      <c r="AB135" s="104"/>
      <c r="AC135" s="104"/>
      <c r="AD135" s="104"/>
      <c r="AE135" s="104"/>
    </row>
    <row r="136" ht="15.75" customHeight="1">
      <c r="A136" s="251"/>
      <c r="B136" s="324" t="s">
        <v>241</v>
      </c>
      <c r="C136" s="318"/>
      <c r="D136" s="318"/>
      <c r="E136" s="318"/>
      <c r="F136" s="319"/>
      <c r="G136" s="325"/>
      <c r="H136" s="318"/>
      <c r="I136" s="318"/>
      <c r="J136" s="318"/>
      <c r="K136" s="318"/>
      <c r="L136" s="318"/>
      <c r="M136" s="318"/>
      <c r="N136" s="318"/>
      <c r="O136" s="326">
        <v>13.0</v>
      </c>
      <c r="P136" s="326">
        <v>27.0</v>
      </c>
      <c r="Q136" s="326">
        <v>13.0</v>
      </c>
      <c r="R136" s="326">
        <v>27.0</v>
      </c>
      <c r="S136" s="326">
        <v>13.0</v>
      </c>
      <c r="T136" s="326">
        <v>27.0</v>
      </c>
      <c r="U136" s="318">
        <v>13.0</v>
      </c>
      <c r="V136" s="318">
        <v>26.0</v>
      </c>
      <c r="W136" s="103"/>
      <c r="X136" s="104"/>
      <c r="Y136" s="104"/>
      <c r="Z136" s="104"/>
      <c r="AA136" s="104"/>
      <c r="AB136" s="104"/>
      <c r="AC136" s="104"/>
      <c r="AD136" s="104"/>
      <c r="AE136" s="104"/>
    </row>
    <row r="137" ht="15.75" customHeight="1">
      <c r="A137" s="251"/>
      <c r="B137" s="324" t="s">
        <v>242</v>
      </c>
      <c r="C137" s="318"/>
      <c r="D137" s="318"/>
      <c r="E137" s="318"/>
      <c r="F137" s="319"/>
      <c r="G137" s="325"/>
      <c r="H137" s="318"/>
      <c r="I137" s="318"/>
      <c r="J137" s="318"/>
      <c r="K137" s="318"/>
      <c r="L137" s="318"/>
      <c r="M137" s="318"/>
      <c r="N137" s="318"/>
      <c r="O137" s="326">
        <v>13.0</v>
      </c>
      <c r="P137" s="326">
        <v>27.0</v>
      </c>
      <c r="Q137" s="326">
        <v>13.0</v>
      </c>
      <c r="R137" s="326">
        <v>27.0</v>
      </c>
      <c r="S137" s="326">
        <v>13.0</v>
      </c>
      <c r="T137" s="326">
        <v>27.0</v>
      </c>
      <c r="U137" s="318">
        <v>13.0</v>
      </c>
      <c r="V137" s="318">
        <v>26.0</v>
      </c>
      <c r="W137" s="103"/>
      <c r="X137" s="104"/>
      <c r="Y137" s="104"/>
      <c r="Z137" s="104"/>
      <c r="AA137" s="104"/>
      <c r="AB137" s="104"/>
      <c r="AC137" s="104"/>
      <c r="AD137" s="104"/>
      <c r="AE137" s="104"/>
    </row>
    <row r="138" ht="15.75" customHeight="1">
      <c r="A138" s="251"/>
      <c r="B138" s="327" t="s">
        <v>243</v>
      </c>
      <c r="C138" s="318"/>
      <c r="D138" s="318"/>
      <c r="E138" s="318"/>
      <c r="F138" s="325"/>
      <c r="G138" s="325"/>
      <c r="H138" s="318"/>
      <c r="I138" s="318"/>
      <c r="J138" s="318"/>
      <c r="K138" s="318"/>
      <c r="L138" s="318"/>
      <c r="M138" s="318"/>
      <c r="N138" s="318"/>
      <c r="O138" s="326">
        <v>16.0</v>
      </c>
      <c r="P138" s="326">
        <v>24.0</v>
      </c>
      <c r="Q138" s="326">
        <v>16.0</v>
      </c>
      <c r="R138" s="326">
        <v>24.0</v>
      </c>
      <c r="S138" s="328">
        <v>16.0</v>
      </c>
      <c r="T138" s="328">
        <v>24.0</v>
      </c>
      <c r="U138" s="318">
        <v>16.0</v>
      </c>
      <c r="V138" s="318">
        <v>26.0</v>
      </c>
      <c r="W138" s="103"/>
      <c r="X138" s="104"/>
      <c r="Y138" s="104"/>
      <c r="Z138" s="104"/>
      <c r="AA138" s="104"/>
      <c r="AB138" s="104"/>
      <c r="AC138" s="104"/>
      <c r="AD138" s="104"/>
      <c r="AE138" s="104"/>
    </row>
    <row r="139" ht="15.75" customHeight="1">
      <c r="A139" s="310"/>
      <c r="B139" s="311" t="s">
        <v>244</v>
      </c>
      <c r="C139" s="312"/>
      <c r="D139" s="312"/>
      <c r="E139" s="312"/>
      <c r="F139" s="313">
        <f>F133+F134+F135</f>
        <v>276</v>
      </c>
      <c r="G139" s="314">
        <f>SUM(G133:G138)</f>
        <v>6624</v>
      </c>
      <c r="H139" s="314">
        <f t="shared" ref="H139:N139" si="68">H133+H134+H135+H136+H138</f>
        <v>2160</v>
      </c>
      <c r="I139" s="314">
        <f t="shared" si="68"/>
        <v>1576</v>
      </c>
      <c r="J139" s="314">
        <f t="shared" si="68"/>
        <v>72</v>
      </c>
      <c r="K139" s="314">
        <f t="shared" si="68"/>
        <v>790</v>
      </c>
      <c r="L139" s="314">
        <f t="shared" si="68"/>
        <v>1440</v>
      </c>
      <c r="M139" s="314">
        <f t="shared" si="68"/>
        <v>1834</v>
      </c>
      <c r="N139" s="314">
        <f t="shared" si="68"/>
        <v>0</v>
      </c>
      <c r="O139" s="314">
        <f t="shared" ref="O139:V139" si="69">O133+O134+O135</f>
        <v>690</v>
      </c>
      <c r="P139" s="314">
        <f t="shared" si="69"/>
        <v>966</v>
      </c>
      <c r="Q139" s="314">
        <f t="shared" si="69"/>
        <v>690</v>
      </c>
      <c r="R139" s="314">
        <f t="shared" si="69"/>
        <v>966</v>
      </c>
      <c r="S139" s="315">
        <f t="shared" si="69"/>
        <v>690</v>
      </c>
      <c r="T139" s="314">
        <f t="shared" si="69"/>
        <v>966</v>
      </c>
      <c r="U139" s="314">
        <f t="shared" si="69"/>
        <v>690</v>
      </c>
      <c r="V139" s="314">
        <f t="shared" si="69"/>
        <v>966</v>
      </c>
      <c r="W139" s="103"/>
      <c r="X139" s="104"/>
      <c r="Y139" s="104"/>
      <c r="Z139" s="104"/>
      <c r="AA139" s="104"/>
      <c r="AB139" s="104"/>
      <c r="AC139" s="104"/>
      <c r="AD139" s="104"/>
      <c r="AE139" s="104"/>
    </row>
    <row r="140" ht="15.75" customHeight="1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207"/>
      <c r="U140" s="329"/>
      <c r="V140" s="329"/>
      <c r="W140" s="329"/>
      <c r="X140" s="329"/>
      <c r="Y140" s="329"/>
      <c r="Z140" s="329"/>
      <c r="AA140" s="329"/>
      <c r="AB140" s="329"/>
      <c r="AC140" s="329"/>
      <c r="AD140" s="329"/>
      <c r="AE140" s="329"/>
    </row>
    <row r="141" ht="15.75" customHeight="1">
      <c r="A141" s="330"/>
      <c r="B141" s="330"/>
      <c r="C141" s="330"/>
      <c r="D141" s="330"/>
      <c r="E141" s="330"/>
      <c r="F141" s="330"/>
      <c r="G141" s="330">
        <f>6624-G139</f>
        <v>0</v>
      </c>
      <c r="H141" s="330"/>
      <c r="I141" s="330"/>
      <c r="J141" s="330"/>
      <c r="K141" s="330"/>
      <c r="L141" s="330">
        <f>1440-L139</f>
        <v>0</v>
      </c>
      <c r="M141" s="330"/>
      <c r="N141" s="330"/>
      <c r="O141" s="330"/>
      <c r="P141" s="330"/>
      <c r="Q141" s="330"/>
      <c r="R141" s="330"/>
      <c r="S141" s="330"/>
      <c r="T141" s="207"/>
      <c r="U141" s="330"/>
      <c r="V141" s="330"/>
      <c r="W141" s="329"/>
      <c r="X141" s="329"/>
      <c r="Y141" s="329"/>
      <c r="Z141" s="329"/>
      <c r="AA141" s="329"/>
      <c r="AB141" s="329"/>
      <c r="AC141" s="329"/>
      <c r="AD141" s="329"/>
      <c r="AE141" s="329"/>
    </row>
    <row r="142" ht="15.75" customHeight="1">
      <c r="A142" s="330"/>
      <c r="B142" s="330"/>
      <c r="C142" s="330"/>
      <c r="D142" s="330"/>
      <c r="E142" s="330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207"/>
      <c r="U142" s="330"/>
      <c r="V142" s="330"/>
      <c r="W142" s="329"/>
      <c r="X142" s="329"/>
      <c r="Y142" s="329"/>
      <c r="Z142" s="329"/>
      <c r="AA142" s="329"/>
      <c r="AB142" s="329"/>
      <c r="AC142" s="329"/>
      <c r="AD142" s="329"/>
      <c r="AE142" s="329"/>
    </row>
    <row r="143" ht="15.75" customHeight="1">
      <c r="A143" s="330"/>
      <c r="B143" s="330"/>
      <c r="C143" s="330"/>
      <c r="D143" s="330"/>
      <c r="E143" s="330"/>
      <c r="F143" s="330"/>
      <c r="G143" s="330"/>
      <c r="H143" s="330"/>
      <c r="I143" s="330"/>
      <c r="J143" s="330"/>
      <c r="K143" s="330"/>
      <c r="L143" s="330"/>
      <c r="M143" s="330"/>
      <c r="N143" s="330"/>
      <c r="O143" s="330"/>
      <c r="P143" s="330"/>
      <c r="Q143" s="330"/>
      <c r="R143" s="330"/>
      <c r="S143" s="330"/>
      <c r="T143" s="207"/>
      <c r="U143" s="330"/>
      <c r="V143" s="330"/>
      <c r="W143" s="329"/>
      <c r="X143" s="329"/>
      <c r="Y143" s="329"/>
      <c r="Z143" s="329"/>
      <c r="AA143" s="329"/>
      <c r="AB143" s="329"/>
      <c r="AC143" s="329"/>
      <c r="AD143" s="329"/>
      <c r="AE143" s="329"/>
    </row>
    <row r="144" ht="15.75" customHeight="1">
      <c r="A144" s="330"/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  <c r="L144" s="330"/>
      <c r="M144" s="330"/>
      <c r="N144" s="330"/>
      <c r="O144" s="330"/>
      <c r="P144" s="330"/>
      <c r="Q144" s="330"/>
      <c r="R144" s="330"/>
      <c r="S144" s="330"/>
      <c r="T144" s="207"/>
      <c r="U144" s="330"/>
      <c r="V144" s="330"/>
      <c r="W144" s="329"/>
      <c r="X144" s="329"/>
      <c r="Y144" s="329"/>
      <c r="Z144" s="329"/>
      <c r="AA144" s="329"/>
      <c r="AB144" s="329"/>
      <c r="AC144" s="329"/>
      <c r="AD144" s="329"/>
      <c r="AE144" s="329"/>
    </row>
    <row r="145" ht="15.75" customHeight="1">
      <c r="A145" s="330"/>
      <c r="B145" s="330"/>
      <c r="C145" s="330"/>
      <c r="D145" s="330"/>
      <c r="E145" s="330"/>
      <c r="F145" s="330"/>
      <c r="G145" s="330"/>
      <c r="H145" s="330"/>
      <c r="I145" s="330"/>
      <c r="J145" s="330"/>
      <c r="K145" s="330"/>
      <c r="L145" s="330"/>
      <c r="M145" s="330"/>
      <c r="N145" s="330"/>
      <c r="O145" s="330"/>
      <c r="P145" s="330"/>
      <c r="Q145" s="330"/>
      <c r="R145" s="330"/>
      <c r="S145" s="330"/>
      <c r="T145" s="207"/>
      <c r="U145" s="330"/>
      <c r="V145" s="330"/>
      <c r="W145" s="329"/>
      <c r="X145" s="329"/>
      <c r="Y145" s="329"/>
      <c r="Z145" s="329"/>
      <c r="AA145" s="329"/>
      <c r="AB145" s="329"/>
      <c r="AC145" s="329"/>
      <c r="AD145" s="329"/>
      <c r="AE145" s="329"/>
    </row>
    <row r="146" ht="15.75" customHeight="1">
      <c r="A146" s="330"/>
      <c r="B146" s="330"/>
      <c r="C146" s="330"/>
      <c r="D146" s="330"/>
      <c r="E146" s="330"/>
      <c r="F146" s="330"/>
      <c r="G146" s="330"/>
      <c r="H146" s="330"/>
      <c r="I146" s="330"/>
      <c r="J146" s="330"/>
      <c r="K146" s="330"/>
      <c r="L146" s="330"/>
      <c r="M146" s="330"/>
      <c r="N146" s="330"/>
      <c r="O146" s="330"/>
      <c r="P146" s="330"/>
      <c r="Q146" s="330"/>
      <c r="R146" s="330"/>
      <c r="S146" s="330"/>
      <c r="T146" s="207"/>
      <c r="U146" s="330"/>
      <c r="V146" s="330"/>
      <c r="W146" s="329"/>
      <c r="X146" s="329"/>
      <c r="Y146" s="329"/>
      <c r="Z146" s="329"/>
      <c r="AA146" s="329"/>
      <c r="AB146" s="329"/>
      <c r="AC146" s="329"/>
      <c r="AD146" s="329"/>
      <c r="AE146" s="329"/>
    </row>
    <row r="147" ht="15.75" customHeight="1">
      <c r="A147" s="330"/>
      <c r="B147" s="330"/>
      <c r="C147" s="330"/>
      <c r="D147" s="330"/>
      <c r="E147" s="330"/>
      <c r="F147" s="330"/>
      <c r="G147" s="330"/>
      <c r="H147" s="330"/>
      <c r="I147" s="330"/>
      <c r="J147" s="330"/>
      <c r="K147" s="330"/>
      <c r="L147" s="330"/>
      <c r="M147" s="330"/>
      <c r="N147" s="330"/>
      <c r="O147" s="330"/>
      <c r="P147" s="330"/>
      <c r="Q147" s="330"/>
      <c r="R147" s="330"/>
      <c r="S147" s="330"/>
      <c r="T147" s="207"/>
      <c r="U147" s="330"/>
      <c r="V147" s="330"/>
      <c r="W147" s="329"/>
      <c r="X147" s="329"/>
      <c r="Y147" s="329"/>
      <c r="Z147" s="329"/>
      <c r="AA147" s="329"/>
      <c r="AB147" s="329"/>
      <c r="AC147" s="329"/>
      <c r="AD147" s="329"/>
      <c r="AE147" s="329"/>
    </row>
    <row r="148" ht="15.75" customHeight="1">
      <c r="A148" s="330"/>
      <c r="B148" s="330"/>
      <c r="C148" s="330"/>
      <c r="D148" s="330"/>
      <c r="E148" s="330"/>
      <c r="F148" s="330"/>
      <c r="G148" s="330"/>
      <c r="H148" s="330"/>
      <c r="I148" s="330"/>
      <c r="J148" s="330"/>
      <c r="K148" s="330"/>
      <c r="L148" s="330"/>
      <c r="M148" s="330"/>
      <c r="N148" s="330"/>
      <c r="O148" s="330"/>
      <c r="P148" s="330"/>
      <c r="Q148" s="330"/>
      <c r="R148" s="330"/>
      <c r="S148" s="330"/>
      <c r="T148" s="207"/>
      <c r="U148" s="330"/>
      <c r="V148" s="330"/>
      <c r="W148" s="329"/>
      <c r="X148" s="329"/>
      <c r="Y148" s="329"/>
      <c r="Z148" s="329"/>
      <c r="AA148" s="329"/>
      <c r="AB148" s="329"/>
      <c r="AC148" s="329"/>
      <c r="AD148" s="329"/>
      <c r="AE148" s="329"/>
    </row>
    <row r="149" ht="15.75" customHeight="1">
      <c r="A149" s="330"/>
      <c r="B149" s="330"/>
      <c r="C149" s="330"/>
      <c r="D149" s="330"/>
      <c r="E149" s="330"/>
      <c r="F149" s="330"/>
      <c r="G149" s="330"/>
      <c r="H149" s="330"/>
      <c r="I149" s="330"/>
      <c r="J149" s="330"/>
      <c r="K149" s="330"/>
      <c r="L149" s="330"/>
      <c r="M149" s="330"/>
      <c r="N149" s="330"/>
      <c r="O149" s="330"/>
      <c r="P149" s="330"/>
      <c r="Q149" s="330"/>
      <c r="R149" s="330"/>
      <c r="S149" s="330"/>
      <c r="T149" s="207"/>
      <c r="U149" s="330"/>
      <c r="V149" s="330"/>
      <c r="W149" s="329"/>
      <c r="X149" s="329"/>
      <c r="Y149" s="329"/>
      <c r="Z149" s="329"/>
      <c r="AA149" s="329"/>
      <c r="AB149" s="329"/>
      <c r="AC149" s="329"/>
      <c r="AD149" s="329"/>
      <c r="AE149" s="329"/>
    </row>
    <row r="150" ht="15.75" customHeight="1">
      <c r="A150" s="330"/>
      <c r="B150" s="330"/>
      <c r="C150" s="330"/>
      <c r="D150" s="330"/>
      <c r="E150" s="330"/>
      <c r="F150" s="330"/>
      <c r="G150" s="330"/>
      <c r="H150" s="330"/>
      <c r="I150" s="330"/>
      <c r="J150" s="330"/>
      <c r="K150" s="330"/>
      <c r="L150" s="330"/>
      <c r="M150" s="330"/>
      <c r="N150" s="330"/>
      <c r="O150" s="330"/>
      <c r="P150" s="330"/>
      <c r="Q150" s="330"/>
      <c r="R150" s="330"/>
      <c r="S150" s="330"/>
      <c r="T150" s="207"/>
      <c r="U150" s="330"/>
      <c r="V150" s="330"/>
      <c r="W150" s="329"/>
      <c r="X150" s="329"/>
      <c r="Y150" s="329"/>
      <c r="Z150" s="329"/>
      <c r="AA150" s="329"/>
      <c r="AB150" s="329"/>
      <c r="AC150" s="329"/>
      <c r="AD150" s="329"/>
      <c r="AE150" s="329"/>
    </row>
    <row r="151" ht="15.75" customHeight="1">
      <c r="A151" s="330"/>
      <c r="B151" s="330"/>
      <c r="C151" s="330"/>
      <c r="D151" s="330"/>
      <c r="E151" s="330"/>
      <c r="F151" s="330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  <c r="S151" s="330"/>
      <c r="T151" s="207"/>
      <c r="U151" s="330"/>
      <c r="V151" s="330"/>
      <c r="W151" s="329"/>
      <c r="X151" s="329"/>
      <c r="Y151" s="329"/>
      <c r="Z151" s="329"/>
      <c r="AA151" s="329"/>
      <c r="AB151" s="329"/>
      <c r="AC151" s="329"/>
      <c r="AD151" s="329"/>
      <c r="AE151" s="329"/>
    </row>
    <row r="152" ht="15.75" customHeight="1">
      <c r="A152" s="330"/>
      <c r="B152" s="330"/>
      <c r="C152" s="330"/>
      <c r="D152" s="330"/>
      <c r="E152" s="330"/>
      <c r="F152" s="330"/>
      <c r="G152" s="330"/>
      <c r="H152" s="330"/>
      <c r="I152" s="330"/>
      <c r="J152" s="330"/>
      <c r="K152" s="330"/>
      <c r="L152" s="330"/>
      <c r="M152" s="330"/>
      <c r="N152" s="330"/>
      <c r="O152" s="330"/>
      <c r="P152" s="330"/>
      <c r="Q152" s="330"/>
      <c r="R152" s="330"/>
      <c r="S152" s="330"/>
      <c r="T152" s="207"/>
      <c r="U152" s="330"/>
      <c r="V152" s="330"/>
      <c r="W152" s="329"/>
      <c r="X152" s="329"/>
      <c r="Y152" s="329"/>
      <c r="Z152" s="329"/>
      <c r="AA152" s="329"/>
      <c r="AB152" s="329"/>
      <c r="AC152" s="329"/>
      <c r="AD152" s="329"/>
      <c r="AE152" s="329"/>
    </row>
    <row r="153" ht="15.75" customHeight="1">
      <c r="A153" s="330"/>
      <c r="B153" s="330"/>
      <c r="C153" s="330"/>
      <c r="D153" s="330"/>
      <c r="E153" s="330"/>
      <c r="F153" s="330"/>
      <c r="G153" s="330"/>
      <c r="H153" s="330"/>
      <c r="I153" s="330"/>
      <c r="J153" s="330"/>
      <c r="K153" s="330"/>
      <c r="L153" s="330"/>
      <c r="M153" s="330"/>
      <c r="N153" s="330"/>
      <c r="O153" s="330"/>
      <c r="P153" s="330"/>
      <c r="Q153" s="330"/>
      <c r="R153" s="330"/>
      <c r="S153" s="330"/>
      <c r="T153" s="207"/>
      <c r="U153" s="330"/>
      <c r="V153" s="330"/>
      <c r="W153" s="329"/>
      <c r="X153" s="329"/>
      <c r="Y153" s="329"/>
      <c r="Z153" s="329"/>
      <c r="AA153" s="329"/>
      <c r="AB153" s="329"/>
      <c r="AC153" s="329"/>
      <c r="AD153" s="329"/>
      <c r="AE153" s="329"/>
    </row>
    <row r="154" ht="15.75" customHeight="1">
      <c r="A154" s="330"/>
      <c r="B154" s="330"/>
      <c r="C154" s="330"/>
      <c r="D154" s="330"/>
      <c r="E154" s="330"/>
      <c r="F154" s="330"/>
      <c r="G154" s="330"/>
      <c r="H154" s="330"/>
      <c r="I154" s="330"/>
      <c r="J154" s="330"/>
      <c r="K154" s="330"/>
      <c r="L154" s="330"/>
      <c r="M154" s="330"/>
      <c r="N154" s="330"/>
      <c r="O154" s="330"/>
      <c r="P154" s="330"/>
      <c r="Q154" s="330"/>
      <c r="R154" s="330"/>
      <c r="S154" s="330"/>
      <c r="T154" s="207"/>
      <c r="U154" s="330"/>
      <c r="V154" s="330"/>
      <c r="W154" s="329"/>
      <c r="X154" s="329"/>
      <c r="Y154" s="329"/>
      <c r="Z154" s="329"/>
      <c r="AA154" s="329"/>
      <c r="AB154" s="329"/>
      <c r="AC154" s="329"/>
      <c r="AD154" s="329"/>
      <c r="AE154" s="329"/>
    </row>
    <row r="155" ht="15.75" customHeight="1">
      <c r="A155" s="330"/>
      <c r="B155" s="330"/>
      <c r="C155" s="330"/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  <c r="O155" s="330"/>
      <c r="P155" s="330"/>
      <c r="Q155" s="330"/>
      <c r="R155" s="330"/>
      <c r="S155" s="330"/>
      <c r="T155" s="207"/>
      <c r="U155" s="330"/>
      <c r="V155" s="330"/>
      <c r="W155" s="329"/>
      <c r="X155" s="329"/>
      <c r="Y155" s="329"/>
      <c r="Z155" s="329"/>
      <c r="AA155" s="329"/>
      <c r="AB155" s="329"/>
      <c r="AC155" s="329"/>
      <c r="AD155" s="329"/>
      <c r="AE155" s="329"/>
    </row>
    <row r="156" ht="15.75" customHeight="1">
      <c r="A156" s="330"/>
      <c r="B156" s="330"/>
      <c r="C156" s="330"/>
      <c r="D156" s="330"/>
      <c r="E156" s="330"/>
      <c r="F156" s="330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0"/>
      <c r="T156" s="207"/>
      <c r="U156" s="330"/>
      <c r="V156" s="330"/>
      <c r="W156" s="329"/>
      <c r="X156" s="329"/>
      <c r="Y156" s="329"/>
      <c r="Z156" s="329"/>
      <c r="AA156" s="329"/>
      <c r="AB156" s="329"/>
      <c r="AC156" s="329"/>
      <c r="AD156" s="329"/>
      <c r="AE156" s="329"/>
    </row>
    <row r="157" ht="15.75" customHeight="1">
      <c r="A157" s="330"/>
      <c r="B157" s="330"/>
      <c r="C157" s="330"/>
      <c r="D157" s="330"/>
      <c r="E157" s="330"/>
      <c r="F157" s="330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207"/>
      <c r="U157" s="330"/>
      <c r="V157" s="330"/>
      <c r="W157" s="329"/>
      <c r="X157" s="329"/>
      <c r="Y157" s="329"/>
      <c r="Z157" s="329"/>
      <c r="AA157" s="329"/>
      <c r="AB157" s="329"/>
      <c r="AC157" s="329"/>
      <c r="AD157" s="329"/>
      <c r="AE157" s="329"/>
    </row>
    <row r="158" ht="15.75" customHeight="1">
      <c r="A158" s="330"/>
      <c r="B158" s="330"/>
      <c r="C158" s="330"/>
      <c r="D158" s="330"/>
      <c r="E158" s="330"/>
      <c r="F158" s="330"/>
      <c r="G158" s="330"/>
      <c r="H158" s="330"/>
      <c r="I158" s="330"/>
      <c r="J158" s="330"/>
      <c r="K158" s="330"/>
      <c r="L158" s="330"/>
      <c r="M158" s="330"/>
      <c r="N158" s="330"/>
      <c r="O158" s="330"/>
      <c r="P158" s="330"/>
      <c r="Q158" s="330"/>
      <c r="R158" s="330"/>
      <c r="S158" s="330"/>
      <c r="T158" s="207"/>
      <c r="U158" s="330"/>
      <c r="V158" s="330"/>
      <c r="W158" s="329"/>
      <c r="X158" s="329"/>
      <c r="Y158" s="329"/>
      <c r="Z158" s="329"/>
      <c r="AA158" s="329"/>
      <c r="AB158" s="329"/>
      <c r="AC158" s="329"/>
      <c r="AD158" s="329"/>
      <c r="AE158" s="329"/>
    </row>
    <row r="159" ht="15.75" customHeight="1">
      <c r="A159" s="330"/>
      <c r="B159" s="330"/>
      <c r="C159" s="330"/>
      <c r="D159" s="330"/>
      <c r="E159" s="330"/>
      <c r="F159" s="330"/>
      <c r="G159" s="330"/>
      <c r="H159" s="330"/>
      <c r="I159" s="330"/>
      <c r="J159" s="330"/>
      <c r="K159" s="330"/>
      <c r="L159" s="330"/>
      <c r="M159" s="330"/>
      <c r="N159" s="330"/>
      <c r="O159" s="330"/>
      <c r="P159" s="330"/>
      <c r="Q159" s="330"/>
      <c r="R159" s="330"/>
      <c r="S159" s="330"/>
      <c r="T159" s="207"/>
      <c r="U159" s="330"/>
      <c r="V159" s="330"/>
      <c r="W159" s="329"/>
      <c r="X159" s="329"/>
      <c r="Y159" s="329"/>
      <c r="Z159" s="329"/>
      <c r="AA159" s="329"/>
      <c r="AB159" s="329"/>
      <c r="AC159" s="329"/>
      <c r="AD159" s="329"/>
      <c r="AE159" s="329"/>
    </row>
    <row r="160" ht="15.75" customHeight="1">
      <c r="A160" s="330"/>
      <c r="B160" s="330"/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  <c r="Q160" s="330"/>
      <c r="R160" s="330"/>
      <c r="S160" s="330"/>
      <c r="T160" s="207"/>
      <c r="U160" s="330"/>
      <c r="V160" s="330"/>
      <c r="W160" s="329"/>
      <c r="X160" s="329"/>
      <c r="Y160" s="329"/>
      <c r="Z160" s="329"/>
      <c r="AA160" s="329"/>
      <c r="AB160" s="329"/>
      <c r="AC160" s="329"/>
      <c r="AD160" s="329"/>
      <c r="AE160" s="329"/>
    </row>
    <row r="161" ht="15.75" customHeight="1">
      <c r="A161" s="330"/>
      <c r="B161" s="330"/>
      <c r="C161" s="330"/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330"/>
      <c r="O161" s="330"/>
      <c r="P161" s="330"/>
      <c r="Q161" s="330"/>
      <c r="R161" s="330"/>
      <c r="S161" s="330"/>
      <c r="T161" s="207"/>
      <c r="U161" s="330"/>
      <c r="V161" s="330"/>
      <c r="W161" s="329"/>
      <c r="X161" s="329"/>
      <c r="Y161" s="329"/>
      <c r="Z161" s="329"/>
      <c r="AA161" s="329"/>
      <c r="AB161" s="329"/>
      <c r="AC161" s="329"/>
      <c r="AD161" s="329"/>
      <c r="AE161" s="329"/>
    </row>
    <row r="162" ht="15.75" customHeight="1">
      <c r="A162" s="330"/>
      <c r="B162" s="330"/>
      <c r="C162" s="330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  <c r="T162" s="207"/>
      <c r="U162" s="330"/>
      <c r="V162" s="330"/>
      <c r="W162" s="329"/>
      <c r="X162" s="329"/>
      <c r="Y162" s="329"/>
      <c r="Z162" s="329"/>
      <c r="AA162" s="329"/>
      <c r="AB162" s="329"/>
      <c r="AC162" s="329"/>
      <c r="AD162" s="329"/>
      <c r="AE162" s="329"/>
    </row>
    <row r="163" ht="15.75" customHeight="1">
      <c r="A163" s="330"/>
      <c r="B163" s="330"/>
      <c r="C163" s="330"/>
      <c r="D163" s="330"/>
      <c r="E163" s="330"/>
      <c r="F163" s="330"/>
      <c r="G163" s="330"/>
      <c r="H163" s="330"/>
      <c r="I163" s="330"/>
      <c r="J163" s="330"/>
      <c r="K163" s="330"/>
      <c r="L163" s="330"/>
      <c r="M163" s="330"/>
      <c r="N163" s="330"/>
      <c r="O163" s="330"/>
      <c r="P163" s="330"/>
      <c r="Q163" s="330"/>
      <c r="R163" s="330"/>
      <c r="S163" s="330"/>
      <c r="T163" s="207"/>
      <c r="U163" s="330"/>
      <c r="V163" s="330"/>
      <c r="W163" s="329"/>
      <c r="X163" s="329"/>
      <c r="Y163" s="329"/>
      <c r="Z163" s="329"/>
      <c r="AA163" s="329"/>
      <c r="AB163" s="329"/>
      <c r="AC163" s="329"/>
      <c r="AD163" s="329"/>
      <c r="AE163" s="329"/>
    </row>
    <row r="164" ht="15.75" customHeight="1">
      <c r="A164" s="330"/>
      <c r="B164" s="330"/>
      <c r="C164" s="330"/>
      <c r="D164" s="330"/>
      <c r="E164" s="330"/>
      <c r="F164" s="330"/>
      <c r="G164" s="330"/>
      <c r="H164" s="330"/>
      <c r="I164" s="330"/>
      <c r="J164" s="330"/>
      <c r="K164" s="330"/>
      <c r="L164" s="330"/>
      <c r="M164" s="330"/>
      <c r="N164" s="330"/>
      <c r="O164" s="330"/>
      <c r="P164" s="330"/>
      <c r="Q164" s="330"/>
      <c r="R164" s="330"/>
      <c r="S164" s="330"/>
      <c r="T164" s="207"/>
      <c r="U164" s="330"/>
      <c r="V164" s="330"/>
      <c r="W164" s="329"/>
      <c r="X164" s="329"/>
      <c r="Y164" s="329"/>
      <c r="Z164" s="329"/>
      <c r="AA164" s="329"/>
      <c r="AB164" s="329"/>
      <c r="AC164" s="329"/>
      <c r="AD164" s="329"/>
      <c r="AE164" s="329"/>
    </row>
    <row r="165" ht="15.75" customHeight="1">
      <c r="A165" s="330"/>
      <c r="B165" s="330"/>
      <c r="C165" s="330"/>
      <c r="D165" s="330"/>
      <c r="E165" s="330"/>
      <c r="F165" s="330"/>
      <c r="G165" s="330"/>
      <c r="H165" s="330"/>
      <c r="I165" s="330"/>
      <c r="J165" s="330"/>
      <c r="K165" s="330"/>
      <c r="L165" s="330"/>
      <c r="M165" s="330"/>
      <c r="N165" s="330"/>
      <c r="O165" s="330"/>
      <c r="P165" s="330"/>
      <c r="Q165" s="330"/>
      <c r="R165" s="330"/>
      <c r="S165" s="330"/>
      <c r="T165" s="207"/>
      <c r="U165" s="330"/>
      <c r="V165" s="330"/>
      <c r="W165" s="329"/>
      <c r="X165" s="329"/>
      <c r="Y165" s="329"/>
      <c r="Z165" s="329"/>
      <c r="AA165" s="329"/>
      <c r="AB165" s="329"/>
      <c r="AC165" s="329"/>
      <c r="AD165" s="329"/>
      <c r="AE165" s="329"/>
    </row>
    <row r="166" ht="15.75" customHeight="1">
      <c r="A166" s="330"/>
      <c r="B166" s="330"/>
      <c r="C166" s="330"/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330"/>
      <c r="O166" s="330"/>
      <c r="P166" s="330"/>
      <c r="Q166" s="330"/>
      <c r="R166" s="330"/>
      <c r="S166" s="330"/>
      <c r="T166" s="207"/>
      <c r="U166" s="330"/>
      <c r="V166" s="330"/>
      <c r="W166" s="329"/>
      <c r="X166" s="329"/>
      <c r="Y166" s="329"/>
      <c r="Z166" s="329"/>
      <c r="AA166" s="329"/>
      <c r="AB166" s="329"/>
      <c r="AC166" s="329"/>
      <c r="AD166" s="329"/>
      <c r="AE166" s="329"/>
    </row>
    <row r="167" ht="15.75" customHeight="1">
      <c r="A167" s="330"/>
      <c r="B167" s="330"/>
      <c r="C167" s="330"/>
      <c r="D167" s="330"/>
      <c r="E167" s="330"/>
      <c r="F167" s="330"/>
      <c r="G167" s="330"/>
      <c r="H167" s="330"/>
      <c r="I167" s="330"/>
      <c r="J167" s="330"/>
      <c r="K167" s="330"/>
      <c r="L167" s="330"/>
      <c r="M167" s="330"/>
      <c r="N167" s="330"/>
      <c r="O167" s="330"/>
      <c r="P167" s="330"/>
      <c r="Q167" s="330"/>
      <c r="R167" s="330"/>
      <c r="S167" s="330"/>
      <c r="T167" s="207"/>
      <c r="U167" s="330"/>
      <c r="V167" s="330"/>
      <c r="W167" s="329"/>
      <c r="X167" s="329"/>
      <c r="Y167" s="329"/>
      <c r="Z167" s="329"/>
      <c r="AA167" s="329"/>
      <c r="AB167" s="329"/>
      <c r="AC167" s="329"/>
      <c r="AD167" s="329"/>
      <c r="AE167" s="329"/>
    </row>
    <row r="168" ht="15.75" customHeight="1">
      <c r="A168" s="330"/>
      <c r="B168" s="330"/>
      <c r="C168" s="330"/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330"/>
      <c r="O168" s="330"/>
      <c r="P168" s="330"/>
      <c r="Q168" s="330"/>
      <c r="R168" s="330"/>
      <c r="S168" s="330"/>
      <c r="T168" s="207"/>
      <c r="U168" s="330"/>
      <c r="V168" s="330"/>
      <c r="W168" s="329"/>
      <c r="X168" s="329"/>
      <c r="Y168" s="329"/>
      <c r="Z168" s="329"/>
      <c r="AA168" s="329"/>
      <c r="AB168" s="329"/>
      <c r="AC168" s="329"/>
      <c r="AD168" s="329"/>
      <c r="AE168" s="329"/>
    </row>
    <row r="169" ht="15.75" customHeight="1">
      <c r="A169" s="330"/>
      <c r="B169" s="330"/>
      <c r="C169" s="330"/>
      <c r="D169" s="330"/>
      <c r="E169" s="330"/>
      <c r="F169" s="330"/>
      <c r="G169" s="330"/>
      <c r="H169" s="330"/>
      <c r="I169" s="330"/>
      <c r="J169" s="330"/>
      <c r="K169" s="330"/>
      <c r="L169" s="330"/>
      <c r="M169" s="330"/>
      <c r="N169" s="330"/>
      <c r="O169" s="330"/>
      <c r="P169" s="330"/>
      <c r="Q169" s="330"/>
      <c r="R169" s="330"/>
      <c r="S169" s="330"/>
      <c r="T169" s="207"/>
      <c r="U169" s="330"/>
      <c r="V169" s="330"/>
      <c r="W169" s="329"/>
      <c r="X169" s="329"/>
      <c r="Y169" s="329"/>
      <c r="Z169" s="329"/>
      <c r="AA169" s="329"/>
      <c r="AB169" s="329"/>
      <c r="AC169" s="329"/>
      <c r="AD169" s="329"/>
      <c r="AE169" s="329"/>
    </row>
    <row r="170" ht="15.75" customHeight="1">
      <c r="A170" s="330"/>
      <c r="B170" s="330"/>
      <c r="C170" s="330"/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207"/>
      <c r="U170" s="330"/>
      <c r="V170" s="330"/>
      <c r="W170" s="329"/>
      <c r="X170" s="329"/>
      <c r="Y170" s="329"/>
      <c r="Z170" s="329"/>
      <c r="AA170" s="329"/>
      <c r="AB170" s="329"/>
      <c r="AC170" s="329"/>
      <c r="AD170" s="329"/>
      <c r="AE170" s="329"/>
    </row>
    <row r="171" ht="15.75" customHeight="1">
      <c r="A171" s="330"/>
      <c r="B171" s="330"/>
      <c r="C171" s="330"/>
      <c r="D171" s="330"/>
      <c r="E171" s="330"/>
      <c r="F171" s="330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207"/>
      <c r="U171" s="330"/>
      <c r="V171" s="330"/>
      <c r="W171" s="329"/>
      <c r="X171" s="329"/>
      <c r="Y171" s="329"/>
      <c r="Z171" s="329"/>
      <c r="AA171" s="329"/>
      <c r="AB171" s="329"/>
      <c r="AC171" s="329"/>
      <c r="AD171" s="329"/>
      <c r="AE171" s="329"/>
    </row>
    <row r="172" ht="15.75" customHeight="1">
      <c r="A172" s="330"/>
      <c r="B172" s="330"/>
      <c r="C172" s="330"/>
      <c r="D172" s="330"/>
      <c r="E172" s="330"/>
      <c r="F172" s="330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207"/>
      <c r="U172" s="330"/>
      <c r="V172" s="330"/>
      <c r="W172" s="329"/>
      <c r="X172" s="329"/>
      <c r="Y172" s="329"/>
      <c r="Z172" s="329"/>
      <c r="AA172" s="329"/>
      <c r="AB172" s="329"/>
      <c r="AC172" s="329"/>
      <c r="AD172" s="329"/>
      <c r="AE172" s="329"/>
    </row>
    <row r="173" ht="15.75" customHeight="1">
      <c r="A173" s="330"/>
      <c r="B173" s="330"/>
      <c r="C173" s="330"/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330"/>
      <c r="O173" s="330"/>
      <c r="P173" s="330"/>
      <c r="Q173" s="330"/>
      <c r="R173" s="330"/>
      <c r="S173" s="330"/>
      <c r="T173" s="207"/>
      <c r="U173" s="330"/>
      <c r="V173" s="330"/>
      <c r="W173" s="329"/>
      <c r="X173" s="329"/>
      <c r="Y173" s="329"/>
      <c r="Z173" s="329"/>
      <c r="AA173" s="329"/>
      <c r="AB173" s="329"/>
      <c r="AC173" s="329"/>
      <c r="AD173" s="329"/>
      <c r="AE173" s="329"/>
    </row>
    <row r="174" ht="15.75" customHeight="1">
      <c r="A174" s="330"/>
      <c r="B174" s="330"/>
      <c r="C174" s="330"/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207"/>
      <c r="U174" s="330"/>
      <c r="V174" s="330"/>
      <c r="W174" s="329"/>
      <c r="X174" s="329"/>
      <c r="Y174" s="329"/>
      <c r="Z174" s="329"/>
      <c r="AA174" s="329"/>
      <c r="AB174" s="329"/>
      <c r="AC174" s="329"/>
      <c r="AD174" s="329"/>
      <c r="AE174" s="329"/>
    </row>
    <row r="175" ht="15.75" customHeight="1">
      <c r="A175" s="330"/>
      <c r="B175" s="330"/>
      <c r="C175" s="330"/>
      <c r="D175" s="330"/>
      <c r="E175" s="330"/>
      <c r="F175" s="330"/>
      <c r="G175" s="330"/>
      <c r="H175" s="330"/>
      <c r="I175" s="330"/>
      <c r="J175" s="330"/>
      <c r="K175" s="330"/>
      <c r="L175" s="330"/>
      <c r="M175" s="330"/>
      <c r="N175" s="330"/>
      <c r="O175" s="330"/>
      <c r="P175" s="330"/>
      <c r="Q175" s="330"/>
      <c r="R175" s="330"/>
      <c r="S175" s="330"/>
      <c r="T175" s="207"/>
      <c r="U175" s="330"/>
      <c r="V175" s="330"/>
      <c r="W175" s="329"/>
      <c r="X175" s="329"/>
      <c r="Y175" s="329"/>
      <c r="Z175" s="329"/>
      <c r="AA175" s="329"/>
      <c r="AB175" s="329"/>
      <c r="AC175" s="329"/>
      <c r="AD175" s="329"/>
      <c r="AE175" s="329"/>
    </row>
    <row r="176" ht="15.75" customHeight="1">
      <c r="A176" s="330"/>
      <c r="B176" s="330"/>
      <c r="C176" s="330"/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/>
      <c r="O176" s="330"/>
      <c r="P176" s="330"/>
      <c r="Q176" s="330"/>
      <c r="R176" s="330"/>
      <c r="S176" s="330"/>
      <c r="T176" s="207"/>
      <c r="U176" s="330"/>
      <c r="V176" s="330"/>
      <c r="W176" s="329"/>
      <c r="X176" s="329"/>
      <c r="Y176" s="329"/>
      <c r="Z176" s="329"/>
      <c r="AA176" s="329"/>
      <c r="AB176" s="329"/>
      <c r="AC176" s="329"/>
      <c r="AD176" s="329"/>
      <c r="AE176" s="329"/>
    </row>
    <row r="177" ht="15.75" customHeight="1">
      <c r="A177" s="330"/>
      <c r="B177" s="330"/>
      <c r="C177" s="330"/>
      <c r="D177" s="330"/>
      <c r="E177" s="330"/>
      <c r="F177" s="330"/>
      <c r="G177" s="330"/>
      <c r="H177" s="330"/>
      <c r="I177" s="330"/>
      <c r="J177" s="330"/>
      <c r="K177" s="330"/>
      <c r="L177" s="330"/>
      <c r="M177" s="330"/>
      <c r="N177" s="330"/>
      <c r="O177" s="330"/>
      <c r="P177" s="330"/>
      <c r="Q177" s="330"/>
      <c r="R177" s="330"/>
      <c r="S177" s="330"/>
      <c r="T177" s="207"/>
      <c r="U177" s="330"/>
      <c r="V177" s="330"/>
      <c r="W177" s="329"/>
      <c r="X177" s="329"/>
      <c r="Y177" s="329"/>
      <c r="Z177" s="329"/>
      <c r="AA177" s="329"/>
      <c r="AB177" s="329"/>
      <c r="AC177" s="329"/>
      <c r="AD177" s="329"/>
      <c r="AE177" s="329"/>
    </row>
    <row r="178" ht="15.75" customHeight="1">
      <c r="A178" s="330"/>
      <c r="B178" s="330"/>
      <c r="C178" s="330"/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207"/>
      <c r="U178" s="330"/>
      <c r="V178" s="330"/>
      <c r="W178" s="329"/>
      <c r="X178" s="329"/>
      <c r="Y178" s="329"/>
      <c r="Z178" s="329"/>
      <c r="AA178" s="329"/>
      <c r="AB178" s="329"/>
      <c r="AC178" s="329"/>
      <c r="AD178" s="329"/>
      <c r="AE178" s="329"/>
    </row>
    <row r="179" ht="15.75" customHeight="1">
      <c r="A179" s="330"/>
      <c r="B179" s="330"/>
      <c r="C179" s="330"/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207"/>
      <c r="U179" s="330"/>
      <c r="V179" s="330"/>
      <c r="W179" s="329"/>
      <c r="X179" s="329"/>
      <c r="Y179" s="329"/>
      <c r="Z179" s="329"/>
      <c r="AA179" s="329"/>
      <c r="AB179" s="329"/>
      <c r="AC179" s="329"/>
      <c r="AD179" s="329"/>
      <c r="AE179" s="329"/>
    </row>
    <row r="180" ht="15.75" customHeight="1">
      <c r="A180" s="330"/>
      <c r="B180" s="330"/>
      <c r="C180" s="330"/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N180" s="330"/>
      <c r="O180" s="330"/>
      <c r="P180" s="330"/>
      <c r="Q180" s="330"/>
      <c r="R180" s="330"/>
      <c r="S180" s="330"/>
      <c r="T180" s="207"/>
      <c r="U180" s="330"/>
      <c r="V180" s="330"/>
      <c r="W180" s="329"/>
      <c r="X180" s="329"/>
      <c r="Y180" s="329"/>
      <c r="Z180" s="329"/>
      <c r="AA180" s="329"/>
      <c r="AB180" s="329"/>
      <c r="AC180" s="329"/>
      <c r="AD180" s="329"/>
      <c r="AE180" s="329"/>
    </row>
    <row r="181" ht="15.75" customHeight="1">
      <c r="A181" s="330"/>
      <c r="B181" s="330"/>
      <c r="C181" s="330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330"/>
      <c r="O181" s="330"/>
      <c r="P181" s="330"/>
      <c r="Q181" s="330"/>
      <c r="R181" s="330"/>
      <c r="S181" s="330"/>
      <c r="T181" s="207"/>
      <c r="U181" s="330"/>
      <c r="V181" s="330"/>
      <c r="W181" s="329"/>
      <c r="X181" s="329"/>
      <c r="Y181" s="329"/>
      <c r="Z181" s="329"/>
      <c r="AA181" s="329"/>
      <c r="AB181" s="329"/>
      <c r="AC181" s="329"/>
      <c r="AD181" s="329"/>
      <c r="AE181" s="329"/>
    </row>
    <row r="182" ht="15.75" customHeight="1">
      <c r="A182" s="330"/>
      <c r="B182" s="330"/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  <c r="Q182" s="330"/>
      <c r="R182" s="330"/>
      <c r="S182" s="330"/>
      <c r="T182" s="207"/>
      <c r="U182" s="330"/>
      <c r="V182" s="330"/>
      <c r="W182" s="329"/>
      <c r="X182" s="329"/>
      <c r="Y182" s="329"/>
      <c r="Z182" s="329"/>
      <c r="AA182" s="329"/>
      <c r="AB182" s="329"/>
      <c r="AC182" s="329"/>
      <c r="AD182" s="329"/>
      <c r="AE182" s="329"/>
    </row>
    <row r="183" ht="15.75" customHeight="1">
      <c r="A183" s="330"/>
      <c r="B183" s="330"/>
      <c r="C183" s="330"/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N183" s="330"/>
      <c r="O183" s="330"/>
      <c r="P183" s="330"/>
      <c r="Q183" s="330"/>
      <c r="R183" s="330"/>
      <c r="S183" s="330"/>
      <c r="T183" s="207"/>
      <c r="U183" s="330"/>
      <c r="V183" s="330"/>
      <c r="W183" s="329"/>
      <c r="X183" s="329"/>
      <c r="Y183" s="329"/>
      <c r="Z183" s="329"/>
      <c r="AA183" s="329"/>
      <c r="AB183" s="329"/>
      <c r="AC183" s="329"/>
      <c r="AD183" s="329"/>
      <c r="AE183" s="329"/>
    </row>
    <row r="184" ht="15.75" customHeight="1">
      <c r="A184" s="330"/>
      <c r="B184" s="330"/>
      <c r="C184" s="330"/>
      <c r="D184" s="330"/>
      <c r="E184" s="330"/>
      <c r="F184" s="330"/>
      <c r="G184" s="330"/>
      <c r="H184" s="330"/>
      <c r="I184" s="330"/>
      <c r="J184" s="330"/>
      <c r="K184" s="330"/>
      <c r="L184" s="330"/>
      <c r="M184" s="330"/>
      <c r="N184" s="330"/>
      <c r="O184" s="330"/>
      <c r="P184" s="330"/>
      <c r="Q184" s="330"/>
      <c r="R184" s="330"/>
      <c r="S184" s="330"/>
      <c r="T184" s="207"/>
      <c r="U184" s="330"/>
      <c r="V184" s="330"/>
      <c r="W184" s="329"/>
      <c r="X184" s="329"/>
      <c r="Y184" s="329"/>
      <c r="Z184" s="329"/>
      <c r="AA184" s="329"/>
      <c r="AB184" s="329"/>
      <c r="AC184" s="329"/>
      <c r="AD184" s="329"/>
      <c r="AE184" s="329"/>
    </row>
    <row r="185" ht="15.75" customHeight="1">
      <c r="A185" s="330"/>
      <c r="B185" s="330"/>
      <c r="C185" s="330"/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  <c r="Q185" s="330"/>
      <c r="R185" s="330"/>
      <c r="S185" s="330"/>
      <c r="T185" s="207"/>
      <c r="U185" s="330"/>
      <c r="V185" s="330"/>
      <c r="W185" s="329"/>
      <c r="X185" s="329"/>
      <c r="Y185" s="329"/>
      <c r="Z185" s="329"/>
      <c r="AA185" s="329"/>
      <c r="AB185" s="329"/>
      <c r="AC185" s="329"/>
      <c r="AD185" s="329"/>
      <c r="AE185" s="329"/>
    </row>
    <row r="186" ht="15.75" customHeight="1">
      <c r="A186" s="330"/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  <c r="T186" s="207"/>
      <c r="U186" s="330"/>
      <c r="V186" s="330"/>
      <c r="W186" s="329"/>
      <c r="X186" s="329"/>
      <c r="Y186" s="329"/>
      <c r="Z186" s="329"/>
      <c r="AA186" s="329"/>
      <c r="AB186" s="329"/>
      <c r="AC186" s="329"/>
      <c r="AD186" s="329"/>
      <c r="AE186" s="329"/>
    </row>
    <row r="187" ht="15.75" customHeight="1">
      <c r="A187" s="330"/>
      <c r="B187" s="330"/>
      <c r="C187" s="330"/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N187" s="330"/>
      <c r="O187" s="330"/>
      <c r="P187" s="330"/>
      <c r="Q187" s="330"/>
      <c r="R187" s="330"/>
      <c r="S187" s="330"/>
      <c r="T187" s="207"/>
      <c r="U187" s="330"/>
      <c r="V187" s="330"/>
      <c r="W187" s="329"/>
      <c r="X187" s="329"/>
      <c r="Y187" s="329"/>
      <c r="Z187" s="329"/>
      <c r="AA187" s="329"/>
      <c r="AB187" s="329"/>
      <c r="AC187" s="329"/>
      <c r="AD187" s="329"/>
      <c r="AE187" s="329"/>
    </row>
    <row r="188" ht="15.75" customHeight="1">
      <c r="A188" s="330"/>
      <c r="B188" s="330"/>
      <c r="C188" s="330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330"/>
      <c r="O188" s="330"/>
      <c r="P188" s="330"/>
      <c r="Q188" s="330"/>
      <c r="R188" s="330"/>
      <c r="S188" s="330"/>
      <c r="T188" s="207"/>
      <c r="U188" s="330"/>
      <c r="V188" s="330"/>
      <c r="W188" s="329"/>
      <c r="X188" s="329"/>
      <c r="Y188" s="329"/>
      <c r="Z188" s="329"/>
      <c r="AA188" s="329"/>
      <c r="AB188" s="329"/>
      <c r="AC188" s="329"/>
      <c r="AD188" s="329"/>
      <c r="AE188" s="329"/>
    </row>
    <row r="189" ht="15.75" customHeight="1">
      <c r="A189" s="330"/>
      <c r="B189" s="330"/>
      <c r="C189" s="330"/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N189" s="330"/>
      <c r="O189" s="330"/>
      <c r="P189" s="330"/>
      <c r="Q189" s="330"/>
      <c r="R189" s="330"/>
      <c r="S189" s="330"/>
      <c r="T189" s="207"/>
      <c r="U189" s="330"/>
      <c r="V189" s="330"/>
      <c r="W189" s="329"/>
      <c r="X189" s="329"/>
      <c r="Y189" s="329"/>
      <c r="Z189" s="329"/>
      <c r="AA189" s="329"/>
      <c r="AB189" s="329"/>
      <c r="AC189" s="329"/>
      <c r="AD189" s="329"/>
      <c r="AE189" s="329"/>
    </row>
    <row r="190" ht="15.75" customHeight="1">
      <c r="A190" s="330"/>
      <c r="B190" s="330"/>
      <c r="C190" s="330"/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  <c r="Q190" s="330"/>
      <c r="R190" s="330"/>
      <c r="S190" s="330"/>
      <c r="T190" s="207"/>
      <c r="U190" s="330"/>
      <c r="V190" s="330"/>
      <c r="W190" s="329"/>
      <c r="X190" s="329"/>
      <c r="Y190" s="329"/>
      <c r="Z190" s="329"/>
      <c r="AA190" s="329"/>
      <c r="AB190" s="329"/>
      <c r="AC190" s="329"/>
      <c r="AD190" s="329"/>
      <c r="AE190" s="329"/>
    </row>
    <row r="191" ht="15.75" customHeight="1">
      <c r="A191" s="330"/>
      <c r="B191" s="330"/>
      <c r="C191" s="330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207"/>
      <c r="U191" s="330"/>
      <c r="V191" s="330"/>
      <c r="W191" s="329"/>
      <c r="X191" s="329"/>
      <c r="Y191" s="329"/>
      <c r="Z191" s="329"/>
      <c r="AA191" s="329"/>
      <c r="AB191" s="329"/>
      <c r="AC191" s="329"/>
      <c r="AD191" s="329"/>
      <c r="AE191" s="329"/>
    </row>
    <row r="192" ht="15.75" customHeight="1">
      <c r="A192" s="330"/>
      <c r="B192" s="330"/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207"/>
      <c r="U192" s="330"/>
      <c r="V192" s="330"/>
      <c r="W192" s="329"/>
      <c r="X192" s="329"/>
      <c r="Y192" s="329"/>
      <c r="Z192" s="329"/>
      <c r="AA192" s="329"/>
      <c r="AB192" s="329"/>
      <c r="AC192" s="329"/>
      <c r="AD192" s="329"/>
      <c r="AE192" s="329"/>
    </row>
    <row r="193" ht="15.75" customHeight="1">
      <c r="A193" s="330"/>
      <c r="B193" s="330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207"/>
      <c r="U193" s="330"/>
      <c r="V193" s="330"/>
      <c r="W193" s="329"/>
      <c r="X193" s="329"/>
      <c r="Y193" s="329"/>
      <c r="Z193" s="329"/>
      <c r="AA193" s="329"/>
      <c r="AB193" s="329"/>
      <c r="AC193" s="329"/>
      <c r="AD193" s="329"/>
      <c r="AE193" s="329"/>
    </row>
    <row r="194" ht="15.75" customHeight="1">
      <c r="A194" s="330"/>
      <c r="B194" s="330"/>
      <c r="C194" s="330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207"/>
      <c r="U194" s="330"/>
      <c r="V194" s="330"/>
      <c r="W194" s="329"/>
      <c r="X194" s="329"/>
      <c r="Y194" s="329"/>
      <c r="Z194" s="329"/>
      <c r="AA194" s="329"/>
      <c r="AB194" s="329"/>
      <c r="AC194" s="329"/>
      <c r="AD194" s="329"/>
      <c r="AE194" s="329"/>
    </row>
    <row r="195" ht="15.75" customHeight="1">
      <c r="A195" s="330"/>
      <c r="B195" s="330"/>
      <c r="C195" s="330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207"/>
      <c r="U195" s="330"/>
      <c r="V195" s="330"/>
      <c r="W195" s="329"/>
      <c r="X195" s="329"/>
      <c r="Y195" s="329"/>
      <c r="Z195" s="329"/>
      <c r="AA195" s="329"/>
      <c r="AB195" s="329"/>
      <c r="AC195" s="329"/>
      <c r="AD195" s="329"/>
      <c r="AE195" s="329"/>
    </row>
    <row r="196" ht="15.75" customHeight="1">
      <c r="A196" s="330"/>
      <c r="B196" s="330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207"/>
      <c r="U196" s="330"/>
      <c r="V196" s="330"/>
      <c r="W196" s="329"/>
      <c r="X196" s="329"/>
      <c r="Y196" s="329"/>
      <c r="Z196" s="329"/>
      <c r="AA196" s="329"/>
      <c r="AB196" s="329"/>
      <c r="AC196" s="329"/>
      <c r="AD196" s="329"/>
      <c r="AE196" s="329"/>
    </row>
    <row r="197" ht="15.75" customHeight="1">
      <c r="A197" s="330"/>
      <c r="B197" s="330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207"/>
      <c r="U197" s="330"/>
      <c r="V197" s="330"/>
      <c r="W197" s="329"/>
      <c r="X197" s="329"/>
      <c r="Y197" s="329"/>
      <c r="Z197" s="329"/>
      <c r="AA197" s="329"/>
      <c r="AB197" s="329"/>
      <c r="AC197" s="329"/>
      <c r="AD197" s="329"/>
      <c r="AE197" s="329"/>
    </row>
    <row r="198" ht="15.75" customHeight="1">
      <c r="A198" s="330"/>
      <c r="B198" s="330"/>
      <c r="C198" s="330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207"/>
      <c r="U198" s="330"/>
      <c r="V198" s="330"/>
      <c r="W198" s="329"/>
      <c r="X198" s="329"/>
      <c r="Y198" s="329"/>
      <c r="Z198" s="329"/>
      <c r="AA198" s="329"/>
      <c r="AB198" s="329"/>
      <c r="AC198" s="329"/>
      <c r="AD198" s="329"/>
      <c r="AE198" s="329"/>
    </row>
    <row r="199" ht="15.75" customHeight="1">
      <c r="A199" s="330"/>
      <c r="B199" s="330"/>
      <c r="C199" s="330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207"/>
      <c r="U199" s="330"/>
      <c r="V199" s="330"/>
      <c r="W199" s="329"/>
      <c r="X199" s="329"/>
      <c r="Y199" s="329"/>
      <c r="Z199" s="329"/>
      <c r="AA199" s="329"/>
      <c r="AB199" s="329"/>
      <c r="AC199" s="329"/>
      <c r="AD199" s="329"/>
      <c r="AE199" s="329"/>
    </row>
    <row r="200" ht="15.75" customHeight="1">
      <c r="A200" s="330"/>
      <c r="B200" s="330"/>
      <c r="C200" s="330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207"/>
      <c r="U200" s="330"/>
      <c r="V200" s="330"/>
      <c r="W200" s="329"/>
      <c r="X200" s="329"/>
      <c r="Y200" s="329"/>
      <c r="Z200" s="329"/>
      <c r="AA200" s="329"/>
      <c r="AB200" s="329"/>
      <c r="AC200" s="329"/>
      <c r="AD200" s="329"/>
      <c r="AE200" s="329"/>
    </row>
    <row r="201" ht="15.75" customHeight="1">
      <c r="A201" s="330"/>
      <c r="B201" s="330"/>
      <c r="C201" s="330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207"/>
      <c r="U201" s="330"/>
      <c r="V201" s="330"/>
      <c r="W201" s="329"/>
      <c r="X201" s="329"/>
      <c r="Y201" s="329"/>
      <c r="Z201" s="329"/>
      <c r="AA201" s="329"/>
      <c r="AB201" s="329"/>
      <c r="AC201" s="329"/>
      <c r="AD201" s="329"/>
      <c r="AE201" s="329"/>
    </row>
    <row r="202" ht="15.75" customHeight="1">
      <c r="A202" s="330"/>
      <c r="B202" s="330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  <c r="T202" s="207"/>
      <c r="U202" s="330"/>
      <c r="V202" s="330"/>
      <c r="W202" s="329"/>
      <c r="X202" s="329"/>
      <c r="Y202" s="329"/>
      <c r="Z202" s="329"/>
      <c r="AA202" s="329"/>
      <c r="AB202" s="329"/>
      <c r="AC202" s="329"/>
      <c r="AD202" s="329"/>
      <c r="AE202" s="329"/>
    </row>
    <row r="203" ht="15.75" customHeight="1">
      <c r="A203" s="330"/>
      <c r="B203" s="330"/>
      <c r="C203" s="330"/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0"/>
      <c r="T203" s="207"/>
      <c r="U203" s="330"/>
      <c r="V203" s="330"/>
      <c r="W203" s="329"/>
      <c r="X203" s="329"/>
      <c r="Y203" s="329"/>
      <c r="Z203" s="329"/>
      <c r="AA203" s="329"/>
      <c r="AB203" s="329"/>
      <c r="AC203" s="329"/>
      <c r="AD203" s="329"/>
      <c r="AE203" s="329"/>
    </row>
    <row r="204" ht="15.75" customHeight="1">
      <c r="A204" s="330"/>
      <c r="B204" s="330"/>
      <c r="C204" s="330"/>
      <c r="D204" s="330"/>
      <c r="E204" s="330"/>
      <c r="F204" s="330"/>
      <c r="G204" s="330"/>
      <c r="H204" s="330"/>
      <c r="I204" s="330"/>
      <c r="J204" s="330"/>
      <c r="K204" s="330"/>
      <c r="L204" s="330"/>
      <c r="M204" s="330"/>
      <c r="N204" s="330"/>
      <c r="O204" s="330"/>
      <c r="P204" s="330"/>
      <c r="Q204" s="330"/>
      <c r="R204" s="330"/>
      <c r="S204" s="330"/>
      <c r="T204" s="207"/>
      <c r="U204" s="330"/>
      <c r="V204" s="330"/>
      <c r="W204" s="329"/>
      <c r="X204" s="329"/>
      <c r="Y204" s="329"/>
      <c r="Z204" s="329"/>
      <c r="AA204" s="329"/>
      <c r="AB204" s="329"/>
      <c r="AC204" s="329"/>
      <c r="AD204" s="329"/>
      <c r="AE204" s="329"/>
    </row>
    <row r="205" ht="15.75" customHeight="1">
      <c r="A205" s="330"/>
      <c r="B205" s="330"/>
      <c r="C205" s="330"/>
      <c r="D205" s="330"/>
      <c r="E205" s="330"/>
      <c r="F205" s="330"/>
      <c r="G205" s="330"/>
      <c r="H205" s="330"/>
      <c r="I205" s="330"/>
      <c r="J205" s="330"/>
      <c r="K205" s="330"/>
      <c r="L205" s="330"/>
      <c r="M205" s="330"/>
      <c r="N205" s="330"/>
      <c r="O205" s="330"/>
      <c r="P205" s="330"/>
      <c r="Q205" s="330"/>
      <c r="R205" s="330"/>
      <c r="S205" s="330"/>
      <c r="T205" s="207"/>
      <c r="U205" s="330"/>
      <c r="V205" s="330"/>
      <c r="W205" s="329"/>
      <c r="X205" s="329"/>
      <c r="Y205" s="329"/>
      <c r="Z205" s="329"/>
      <c r="AA205" s="329"/>
      <c r="AB205" s="329"/>
      <c r="AC205" s="329"/>
      <c r="AD205" s="329"/>
      <c r="AE205" s="329"/>
    </row>
    <row r="206" ht="15.75" customHeight="1">
      <c r="A206" s="330"/>
      <c r="B206" s="330"/>
      <c r="C206" s="330"/>
      <c r="D206" s="330"/>
      <c r="E206" s="330"/>
      <c r="F206" s="330"/>
      <c r="G206" s="330"/>
      <c r="H206" s="330"/>
      <c r="I206" s="330"/>
      <c r="J206" s="330"/>
      <c r="K206" s="330"/>
      <c r="L206" s="330"/>
      <c r="M206" s="330"/>
      <c r="N206" s="330"/>
      <c r="O206" s="330"/>
      <c r="P206" s="330"/>
      <c r="Q206" s="330"/>
      <c r="R206" s="330"/>
      <c r="S206" s="330"/>
      <c r="T206" s="207"/>
      <c r="U206" s="330"/>
      <c r="V206" s="330"/>
      <c r="W206" s="329"/>
      <c r="X206" s="329"/>
      <c r="Y206" s="329"/>
      <c r="Z206" s="329"/>
      <c r="AA206" s="329"/>
      <c r="AB206" s="329"/>
      <c r="AC206" s="329"/>
      <c r="AD206" s="329"/>
      <c r="AE206" s="329"/>
    </row>
    <row r="207" ht="15.75" customHeight="1">
      <c r="A207" s="330"/>
      <c r="B207" s="330"/>
      <c r="C207" s="330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207"/>
      <c r="U207" s="330"/>
      <c r="V207" s="330"/>
      <c r="W207" s="329"/>
      <c r="X207" s="329"/>
      <c r="Y207" s="329"/>
      <c r="Z207" s="329"/>
      <c r="AA207" s="329"/>
      <c r="AB207" s="329"/>
      <c r="AC207" s="329"/>
      <c r="AD207" s="329"/>
      <c r="AE207" s="329"/>
    </row>
    <row r="208" ht="15.75" customHeight="1">
      <c r="A208" s="330"/>
      <c r="B208" s="330"/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207"/>
      <c r="U208" s="330"/>
      <c r="V208" s="330"/>
      <c r="W208" s="329"/>
      <c r="X208" s="329"/>
      <c r="Y208" s="329"/>
      <c r="Z208" s="329"/>
      <c r="AA208" s="329"/>
      <c r="AB208" s="329"/>
      <c r="AC208" s="329"/>
      <c r="AD208" s="329"/>
      <c r="AE208" s="329"/>
    </row>
    <row r="209" ht="15.75" customHeight="1">
      <c r="A209" s="330"/>
      <c r="B209" s="330"/>
      <c r="C209" s="330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0"/>
      <c r="T209" s="207"/>
      <c r="U209" s="330"/>
      <c r="V209" s="330"/>
      <c r="W209" s="329"/>
      <c r="X209" s="329"/>
      <c r="Y209" s="329"/>
      <c r="Z209" s="329"/>
      <c r="AA209" s="329"/>
      <c r="AB209" s="329"/>
      <c r="AC209" s="329"/>
      <c r="AD209" s="329"/>
      <c r="AE209" s="329"/>
    </row>
    <row r="210" ht="15.75" customHeight="1">
      <c r="A210" s="330"/>
      <c r="B210" s="330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207"/>
      <c r="U210" s="330"/>
      <c r="V210" s="330"/>
      <c r="W210" s="329"/>
      <c r="X210" s="329"/>
      <c r="Y210" s="329"/>
      <c r="Z210" s="329"/>
      <c r="AA210" s="329"/>
      <c r="AB210" s="329"/>
      <c r="AC210" s="329"/>
      <c r="AD210" s="329"/>
      <c r="AE210" s="329"/>
    </row>
    <row r="211" ht="15.75" customHeight="1">
      <c r="A211" s="330"/>
      <c r="B211" s="330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207"/>
      <c r="U211" s="330"/>
      <c r="V211" s="330"/>
      <c r="W211" s="329"/>
      <c r="X211" s="329"/>
      <c r="Y211" s="329"/>
      <c r="Z211" s="329"/>
      <c r="AA211" s="329"/>
      <c r="AB211" s="329"/>
      <c r="AC211" s="329"/>
      <c r="AD211" s="329"/>
      <c r="AE211" s="329"/>
    </row>
    <row r="212" ht="15.75" customHeight="1">
      <c r="A212" s="330"/>
      <c r="B212" s="330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207"/>
      <c r="U212" s="330"/>
      <c r="V212" s="330"/>
      <c r="W212" s="329"/>
      <c r="X212" s="329"/>
      <c r="Y212" s="329"/>
      <c r="Z212" s="329"/>
      <c r="AA212" s="329"/>
      <c r="AB212" s="329"/>
      <c r="AC212" s="329"/>
      <c r="AD212" s="329"/>
      <c r="AE212" s="329"/>
    </row>
    <row r="213" ht="15.75" customHeight="1">
      <c r="A213" s="330"/>
      <c r="B213" s="330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207"/>
      <c r="U213" s="330"/>
      <c r="V213" s="330"/>
      <c r="W213" s="329"/>
      <c r="X213" s="329"/>
      <c r="Y213" s="329"/>
      <c r="Z213" s="329"/>
      <c r="AA213" s="329"/>
      <c r="AB213" s="329"/>
      <c r="AC213" s="329"/>
      <c r="AD213" s="329"/>
      <c r="AE213" s="329"/>
    </row>
    <row r="214" ht="15.75" customHeight="1">
      <c r="A214" s="330"/>
      <c r="B214" s="330"/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207"/>
      <c r="U214" s="330"/>
      <c r="V214" s="330"/>
      <c r="W214" s="329"/>
      <c r="X214" s="329"/>
      <c r="Y214" s="329"/>
      <c r="Z214" s="329"/>
      <c r="AA214" s="329"/>
      <c r="AB214" s="329"/>
      <c r="AC214" s="329"/>
      <c r="AD214" s="329"/>
      <c r="AE214" s="329"/>
    </row>
    <row r="215" ht="15.75" customHeight="1">
      <c r="A215" s="330"/>
      <c r="B215" s="330"/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207"/>
      <c r="U215" s="330"/>
      <c r="V215" s="330"/>
      <c r="W215" s="329"/>
      <c r="X215" s="329"/>
      <c r="Y215" s="329"/>
      <c r="Z215" s="329"/>
      <c r="AA215" s="329"/>
      <c r="AB215" s="329"/>
      <c r="AC215" s="329"/>
      <c r="AD215" s="329"/>
      <c r="AE215" s="329"/>
    </row>
    <row r="216" ht="15.75" customHeight="1">
      <c r="A216" s="330"/>
      <c r="B216" s="330"/>
      <c r="C216" s="330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207"/>
      <c r="U216" s="330"/>
      <c r="V216" s="330"/>
      <c r="W216" s="329"/>
      <c r="X216" s="329"/>
      <c r="Y216" s="329"/>
      <c r="Z216" s="329"/>
      <c r="AA216" s="329"/>
      <c r="AB216" s="329"/>
      <c r="AC216" s="329"/>
      <c r="AD216" s="329"/>
      <c r="AE216" s="329"/>
    </row>
    <row r="217" ht="15.75" customHeight="1">
      <c r="A217" s="330"/>
      <c r="B217" s="330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207"/>
      <c r="U217" s="330"/>
      <c r="V217" s="330"/>
      <c r="W217" s="329"/>
      <c r="X217" s="329"/>
      <c r="Y217" s="329"/>
      <c r="Z217" s="329"/>
      <c r="AA217" s="329"/>
      <c r="AB217" s="329"/>
      <c r="AC217" s="329"/>
      <c r="AD217" s="329"/>
      <c r="AE217" s="329"/>
    </row>
    <row r="218" ht="15.75" customHeight="1">
      <c r="A218" s="330"/>
      <c r="B218" s="330"/>
      <c r="C218" s="330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207"/>
      <c r="U218" s="330"/>
      <c r="V218" s="330"/>
      <c r="W218" s="329"/>
      <c r="X218" s="329"/>
      <c r="Y218" s="329"/>
      <c r="Z218" s="329"/>
      <c r="AA218" s="329"/>
      <c r="AB218" s="329"/>
      <c r="AC218" s="329"/>
      <c r="AD218" s="329"/>
      <c r="AE218" s="329"/>
    </row>
    <row r="219" ht="15.75" customHeight="1">
      <c r="A219" s="330"/>
      <c r="B219" s="330"/>
      <c r="C219" s="330"/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207"/>
      <c r="U219" s="330"/>
      <c r="V219" s="330"/>
      <c r="W219" s="329"/>
      <c r="X219" s="329"/>
      <c r="Y219" s="329"/>
      <c r="Z219" s="329"/>
      <c r="AA219" s="329"/>
      <c r="AB219" s="329"/>
      <c r="AC219" s="329"/>
      <c r="AD219" s="329"/>
      <c r="AE219" s="329"/>
    </row>
    <row r="220" ht="15.75" customHeight="1">
      <c r="A220" s="330"/>
      <c r="B220" s="330"/>
      <c r="C220" s="330"/>
      <c r="D220" s="330"/>
      <c r="E220" s="330"/>
      <c r="F220" s="330"/>
      <c r="G220" s="330"/>
      <c r="H220" s="330"/>
      <c r="I220" s="330"/>
      <c r="J220" s="330"/>
      <c r="K220" s="330"/>
      <c r="L220" s="330"/>
      <c r="M220" s="330"/>
      <c r="N220" s="330"/>
      <c r="O220" s="330"/>
      <c r="P220" s="330"/>
      <c r="Q220" s="330"/>
      <c r="R220" s="330"/>
      <c r="S220" s="330"/>
      <c r="T220" s="207"/>
      <c r="U220" s="330"/>
      <c r="V220" s="330"/>
      <c r="W220" s="329"/>
      <c r="X220" s="329"/>
      <c r="Y220" s="329"/>
      <c r="Z220" s="329"/>
      <c r="AA220" s="329"/>
      <c r="AB220" s="329"/>
      <c r="AC220" s="329"/>
      <c r="AD220" s="329"/>
      <c r="AE220" s="329"/>
    </row>
    <row r="221" ht="15.75" customHeight="1">
      <c r="A221" s="330"/>
      <c r="B221" s="330"/>
      <c r="C221" s="330"/>
      <c r="D221" s="330"/>
      <c r="E221" s="330"/>
      <c r="F221" s="330"/>
      <c r="G221" s="330"/>
      <c r="H221" s="330"/>
      <c r="I221" s="330"/>
      <c r="J221" s="330"/>
      <c r="K221" s="330"/>
      <c r="L221" s="330"/>
      <c r="M221" s="330"/>
      <c r="N221" s="330"/>
      <c r="O221" s="330"/>
      <c r="P221" s="330"/>
      <c r="Q221" s="330"/>
      <c r="R221" s="330"/>
      <c r="S221" s="330"/>
      <c r="T221" s="207"/>
      <c r="U221" s="330"/>
      <c r="V221" s="330"/>
      <c r="W221" s="329"/>
      <c r="X221" s="329"/>
      <c r="Y221" s="329"/>
      <c r="Z221" s="329"/>
      <c r="AA221" s="329"/>
      <c r="AB221" s="329"/>
      <c r="AC221" s="329"/>
      <c r="AD221" s="329"/>
      <c r="AE221" s="329"/>
    </row>
    <row r="222" ht="15.75" customHeight="1">
      <c r="A222" s="330"/>
      <c r="B222" s="330"/>
      <c r="C222" s="330"/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0"/>
      <c r="T222" s="207"/>
      <c r="U222" s="330"/>
      <c r="V222" s="330"/>
      <c r="W222" s="329"/>
      <c r="X222" s="329"/>
      <c r="Y222" s="329"/>
      <c r="Z222" s="329"/>
      <c r="AA222" s="329"/>
      <c r="AB222" s="329"/>
      <c r="AC222" s="329"/>
      <c r="AD222" s="329"/>
      <c r="AE222" s="329"/>
    </row>
    <row r="223" ht="15.75" customHeight="1">
      <c r="A223" s="330"/>
      <c r="B223" s="330"/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330"/>
      <c r="N223" s="330"/>
      <c r="O223" s="330"/>
      <c r="P223" s="330"/>
      <c r="Q223" s="330"/>
      <c r="R223" s="330"/>
      <c r="S223" s="330"/>
      <c r="T223" s="207"/>
      <c r="U223" s="330"/>
      <c r="V223" s="330"/>
      <c r="W223" s="329"/>
      <c r="X223" s="329"/>
      <c r="Y223" s="329"/>
      <c r="Z223" s="329"/>
      <c r="AA223" s="329"/>
      <c r="AB223" s="329"/>
      <c r="AC223" s="329"/>
      <c r="AD223" s="329"/>
      <c r="AE223" s="329"/>
    </row>
    <row r="224" ht="15.75" customHeight="1">
      <c r="A224" s="330"/>
      <c r="B224" s="330"/>
      <c r="C224" s="330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207"/>
      <c r="U224" s="330"/>
      <c r="V224" s="330"/>
      <c r="W224" s="329"/>
      <c r="X224" s="329"/>
      <c r="Y224" s="329"/>
      <c r="Z224" s="329"/>
      <c r="AA224" s="329"/>
      <c r="AB224" s="329"/>
      <c r="AC224" s="329"/>
      <c r="AD224" s="329"/>
      <c r="AE224" s="329"/>
    </row>
    <row r="225" ht="15.75" customHeight="1">
      <c r="A225" s="330"/>
      <c r="B225" s="330"/>
      <c r="C225" s="330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N225" s="330"/>
      <c r="O225" s="330"/>
      <c r="P225" s="330"/>
      <c r="Q225" s="330"/>
      <c r="R225" s="330"/>
      <c r="S225" s="330"/>
      <c r="T225" s="207"/>
      <c r="U225" s="330"/>
      <c r="V225" s="330"/>
      <c r="W225" s="329"/>
      <c r="X225" s="329"/>
      <c r="Y225" s="329"/>
      <c r="Z225" s="329"/>
      <c r="AA225" s="329"/>
      <c r="AB225" s="329"/>
      <c r="AC225" s="329"/>
      <c r="AD225" s="329"/>
      <c r="AE225" s="329"/>
    </row>
    <row r="226" ht="15.75" customHeight="1">
      <c r="A226" s="330"/>
      <c r="B226" s="330"/>
      <c r="C226" s="330"/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N226" s="330"/>
      <c r="O226" s="330"/>
      <c r="P226" s="330"/>
      <c r="Q226" s="330"/>
      <c r="R226" s="330"/>
      <c r="S226" s="330"/>
      <c r="T226" s="207"/>
      <c r="U226" s="330"/>
      <c r="V226" s="330"/>
      <c r="W226" s="329"/>
      <c r="X226" s="329"/>
      <c r="Y226" s="329"/>
      <c r="Z226" s="329"/>
      <c r="AA226" s="329"/>
      <c r="AB226" s="329"/>
      <c r="AC226" s="329"/>
      <c r="AD226" s="329"/>
      <c r="AE226" s="329"/>
    </row>
    <row r="227" ht="15.75" customHeight="1">
      <c r="A227" s="330"/>
      <c r="B227" s="330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N227" s="330"/>
      <c r="O227" s="330"/>
      <c r="P227" s="330"/>
      <c r="Q227" s="330"/>
      <c r="R227" s="330"/>
      <c r="S227" s="330"/>
      <c r="T227" s="207"/>
      <c r="U227" s="330"/>
      <c r="V227" s="330"/>
      <c r="W227" s="329"/>
      <c r="X227" s="329"/>
      <c r="Y227" s="329"/>
      <c r="Z227" s="329"/>
      <c r="AA227" s="329"/>
      <c r="AB227" s="329"/>
      <c r="AC227" s="329"/>
      <c r="AD227" s="329"/>
      <c r="AE227" s="329"/>
    </row>
    <row r="228" ht="15.75" customHeight="1">
      <c r="A228" s="330"/>
      <c r="B228" s="330"/>
      <c r="C228" s="330"/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N228" s="330"/>
      <c r="O228" s="330"/>
      <c r="P228" s="330"/>
      <c r="Q228" s="330"/>
      <c r="R228" s="330"/>
      <c r="S228" s="330"/>
      <c r="T228" s="207"/>
      <c r="U228" s="330"/>
      <c r="V228" s="330"/>
      <c r="W228" s="329"/>
      <c r="X228" s="329"/>
      <c r="Y228" s="329"/>
      <c r="Z228" s="329"/>
      <c r="AA228" s="329"/>
      <c r="AB228" s="329"/>
      <c r="AC228" s="329"/>
      <c r="AD228" s="329"/>
      <c r="AE228" s="329"/>
    </row>
    <row r="229" ht="15.75" customHeight="1">
      <c r="A229" s="330"/>
      <c r="B229" s="330"/>
      <c r="C229" s="330"/>
      <c r="D229" s="330"/>
      <c r="E229" s="330"/>
      <c r="F229" s="330"/>
      <c r="G229" s="330"/>
      <c r="H229" s="330"/>
      <c r="I229" s="330"/>
      <c r="J229" s="330"/>
      <c r="K229" s="330"/>
      <c r="L229" s="330"/>
      <c r="M229" s="330"/>
      <c r="N229" s="330"/>
      <c r="O229" s="330"/>
      <c r="P229" s="330"/>
      <c r="Q229" s="330"/>
      <c r="R229" s="330"/>
      <c r="S229" s="330"/>
      <c r="T229" s="207"/>
      <c r="U229" s="330"/>
      <c r="V229" s="330"/>
      <c r="W229" s="329"/>
      <c r="X229" s="329"/>
      <c r="Y229" s="329"/>
      <c r="Z229" s="329"/>
      <c r="AA229" s="329"/>
      <c r="AB229" s="329"/>
      <c r="AC229" s="329"/>
      <c r="AD229" s="329"/>
      <c r="AE229" s="329"/>
    </row>
    <row r="230" ht="15.75" customHeight="1">
      <c r="A230" s="330"/>
      <c r="B230" s="330"/>
      <c r="C230" s="330"/>
      <c r="D230" s="330"/>
      <c r="E230" s="330"/>
      <c r="F230" s="330"/>
      <c r="G230" s="330"/>
      <c r="H230" s="330"/>
      <c r="I230" s="330"/>
      <c r="J230" s="330"/>
      <c r="K230" s="330"/>
      <c r="L230" s="330"/>
      <c r="M230" s="330"/>
      <c r="N230" s="330"/>
      <c r="O230" s="330"/>
      <c r="P230" s="330"/>
      <c r="Q230" s="330"/>
      <c r="R230" s="330"/>
      <c r="S230" s="330"/>
      <c r="T230" s="207"/>
      <c r="U230" s="330"/>
      <c r="V230" s="330"/>
      <c r="W230" s="329"/>
      <c r="X230" s="329"/>
      <c r="Y230" s="329"/>
      <c r="Z230" s="329"/>
      <c r="AA230" s="329"/>
      <c r="AB230" s="329"/>
      <c r="AC230" s="329"/>
      <c r="AD230" s="329"/>
      <c r="AE230" s="329"/>
    </row>
    <row r="231" ht="15.75" customHeight="1">
      <c r="A231" s="330"/>
      <c r="B231" s="330"/>
      <c r="C231" s="330"/>
      <c r="D231" s="330"/>
      <c r="E231" s="330"/>
      <c r="F231" s="330"/>
      <c r="G231" s="330"/>
      <c r="H231" s="330"/>
      <c r="I231" s="330"/>
      <c r="J231" s="330"/>
      <c r="K231" s="330"/>
      <c r="L231" s="330"/>
      <c r="M231" s="330"/>
      <c r="N231" s="330"/>
      <c r="O231" s="330"/>
      <c r="P231" s="330"/>
      <c r="Q231" s="330"/>
      <c r="R231" s="330"/>
      <c r="S231" s="330"/>
      <c r="T231" s="207"/>
      <c r="U231" s="330"/>
      <c r="V231" s="330"/>
      <c r="W231" s="329"/>
      <c r="X231" s="329"/>
      <c r="Y231" s="329"/>
      <c r="Z231" s="329"/>
      <c r="AA231" s="329"/>
      <c r="AB231" s="329"/>
      <c r="AC231" s="329"/>
      <c r="AD231" s="329"/>
      <c r="AE231" s="329"/>
    </row>
    <row r="232" ht="15.75" customHeight="1">
      <c r="A232" s="330"/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  <c r="T232" s="207"/>
      <c r="U232" s="330"/>
      <c r="V232" s="330"/>
      <c r="W232" s="329"/>
      <c r="X232" s="329"/>
      <c r="Y232" s="329"/>
      <c r="Z232" s="329"/>
      <c r="AA232" s="329"/>
      <c r="AB232" s="329"/>
      <c r="AC232" s="329"/>
      <c r="AD232" s="329"/>
      <c r="AE232" s="329"/>
    </row>
    <row r="233" ht="15.75" customHeight="1">
      <c r="A233" s="330"/>
      <c r="B233" s="330"/>
      <c r="C233" s="330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330"/>
      <c r="O233" s="330"/>
      <c r="P233" s="330"/>
      <c r="Q233" s="330"/>
      <c r="R233" s="330"/>
      <c r="S233" s="330"/>
      <c r="T233" s="207"/>
      <c r="U233" s="330"/>
      <c r="V233" s="330"/>
      <c r="W233" s="329"/>
      <c r="X233" s="329"/>
      <c r="Y233" s="329"/>
      <c r="Z233" s="329"/>
      <c r="AA233" s="329"/>
      <c r="AB233" s="329"/>
      <c r="AC233" s="329"/>
      <c r="AD233" s="329"/>
      <c r="AE233" s="329"/>
    </row>
    <row r="234" ht="15.75" customHeight="1">
      <c r="A234" s="330"/>
      <c r="B234" s="330"/>
      <c r="C234" s="330"/>
      <c r="D234" s="330"/>
      <c r="E234" s="330"/>
      <c r="F234" s="330"/>
      <c r="G234" s="330"/>
      <c r="H234" s="330"/>
      <c r="I234" s="330"/>
      <c r="J234" s="330"/>
      <c r="K234" s="330"/>
      <c r="L234" s="330"/>
      <c r="M234" s="330"/>
      <c r="N234" s="330"/>
      <c r="O234" s="330"/>
      <c r="P234" s="330"/>
      <c r="Q234" s="330"/>
      <c r="R234" s="330"/>
      <c r="S234" s="330"/>
      <c r="T234" s="207"/>
      <c r="U234" s="330"/>
      <c r="V234" s="330"/>
      <c r="W234" s="329"/>
      <c r="X234" s="329"/>
      <c r="Y234" s="329"/>
      <c r="Z234" s="329"/>
      <c r="AA234" s="329"/>
      <c r="AB234" s="329"/>
      <c r="AC234" s="329"/>
      <c r="AD234" s="329"/>
      <c r="AE234" s="329"/>
    </row>
    <row r="235" ht="15.75" customHeight="1">
      <c r="A235" s="330"/>
      <c r="B235" s="330"/>
      <c r="C235" s="330"/>
      <c r="D235" s="330"/>
      <c r="E235" s="330"/>
      <c r="F235" s="330"/>
      <c r="G235" s="330"/>
      <c r="H235" s="330"/>
      <c r="I235" s="330"/>
      <c r="J235" s="330"/>
      <c r="K235" s="330"/>
      <c r="L235" s="330"/>
      <c r="M235" s="330"/>
      <c r="N235" s="330"/>
      <c r="O235" s="330"/>
      <c r="P235" s="330"/>
      <c r="Q235" s="330"/>
      <c r="R235" s="330"/>
      <c r="S235" s="330"/>
      <c r="T235" s="207"/>
      <c r="U235" s="330"/>
      <c r="V235" s="330"/>
      <c r="W235" s="329"/>
      <c r="X235" s="329"/>
      <c r="Y235" s="329"/>
      <c r="Z235" s="329"/>
      <c r="AA235" s="329"/>
      <c r="AB235" s="329"/>
      <c r="AC235" s="329"/>
      <c r="AD235" s="329"/>
      <c r="AE235" s="329"/>
    </row>
    <row r="236" ht="15.75" customHeight="1">
      <c r="A236" s="330"/>
      <c r="B236" s="330"/>
      <c r="C236" s="330"/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N236" s="330"/>
      <c r="O236" s="330"/>
      <c r="P236" s="330"/>
      <c r="Q236" s="330"/>
      <c r="R236" s="330"/>
      <c r="S236" s="330"/>
      <c r="T236" s="207"/>
      <c r="U236" s="330"/>
      <c r="V236" s="330"/>
      <c r="W236" s="329"/>
      <c r="X236" s="329"/>
      <c r="Y236" s="329"/>
      <c r="Z236" s="329"/>
      <c r="AA236" s="329"/>
      <c r="AB236" s="329"/>
      <c r="AC236" s="329"/>
      <c r="AD236" s="329"/>
      <c r="AE236" s="329"/>
    </row>
    <row r="237" ht="15.75" customHeight="1">
      <c r="A237" s="330"/>
      <c r="B237" s="330"/>
      <c r="C237" s="330"/>
      <c r="D237" s="330"/>
      <c r="E237" s="330"/>
      <c r="F237" s="330"/>
      <c r="G237" s="330"/>
      <c r="H237" s="330"/>
      <c r="I237" s="330"/>
      <c r="J237" s="330"/>
      <c r="K237" s="330"/>
      <c r="L237" s="330"/>
      <c r="M237" s="330"/>
      <c r="N237" s="330"/>
      <c r="O237" s="330"/>
      <c r="P237" s="330"/>
      <c r="Q237" s="330"/>
      <c r="R237" s="330"/>
      <c r="S237" s="330"/>
      <c r="T237" s="207"/>
      <c r="U237" s="330"/>
      <c r="V237" s="330"/>
      <c r="W237" s="329"/>
      <c r="X237" s="329"/>
      <c r="Y237" s="329"/>
      <c r="Z237" s="329"/>
      <c r="AA237" s="329"/>
      <c r="AB237" s="329"/>
      <c r="AC237" s="329"/>
      <c r="AD237" s="329"/>
      <c r="AE237" s="329"/>
    </row>
    <row r="238" ht="15.75" customHeight="1">
      <c r="A238" s="330"/>
      <c r="B238" s="330"/>
      <c r="C238" s="330"/>
      <c r="D238" s="330"/>
      <c r="E238" s="330"/>
      <c r="F238" s="330"/>
      <c r="G238" s="330"/>
      <c r="H238" s="330"/>
      <c r="I238" s="330"/>
      <c r="J238" s="330"/>
      <c r="K238" s="330"/>
      <c r="L238" s="330"/>
      <c r="M238" s="330"/>
      <c r="N238" s="330"/>
      <c r="O238" s="330"/>
      <c r="P238" s="330"/>
      <c r="Q238" s="330"/>
      <c r="R238" s="330"/>
      <c r="S238" s="330"/>
      <c r="T238" s="207"/>
      <c r="U238" s="330"/>
      <c r="V238" s="330"/>
      <c r="W238" s="329"/>
      <c r="X238" s="329"/>
      <c r="Y238" s="329"/>
      <c r="Z238" s="329"/>
      <c r="AA238" s="329"/>
      <c r="AB238" s="329"/>
      <c r="AC238" s="329"/>
      <c r="AD238" s="329"/>
      <c r="AE238" s="329"/>
    </row>
    <row r="239" ht="15.75" customHeight="1">
      <c r="A239" s="330"/>
      <c r="B239" s="330"/>
      <c r="C239" s="330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N239" s="330"/>
      <c r="O239" s="330"/>
      <c r="P239" s="330"/>
      <c r="Q239" s="330"/>
      <c r="R239" s="330"/>
      <c r="S239" s="330"/>
      <c r="T239" s="207"/>
      <c r="U239" s="330"/>
      <c r="V239" s="330"/>
      <c r="W239" s="329"/>
      <c r="X239" s="329"/>
      <c r="Y239" s="329"/>
      <c r="Z239" s="329"/>
      <c r="AA239" s="329"/>
      <c r="AB239" s="329"/>
      <c r="AC239" s="329"/>
      <c r="AD239" s="329"/>
      <c r="AE239" s="329"/>
    </row>
    <row r="240" ht="15.75" customHeight="1">
      <c r="A240" s="330"/>
      <c r="B240" s="330"/>
      <c r="C240" s="330"/>
      <c r="D240" s="330"/>
      <c r="E240" s="330"/>
      <c r="F240" s="330"/>
      <c r="G240" s="330"/>
      <c r="H240" s="330"/>
      <c r="I240" s="330"/>
      <c r="J240" s="330"/>
      <c r="K240" s="330"/>
      <c r="L240" s="330"/>
      <c r="M240" s="330"/>
      <c r="N240" s="330"/>
      <c r="O240" s="330"/>
      <c r="P240" s="330"/>
      <c r="Q240" s="330"/>
      <c r="R240" s="330"/>
      <c r="S240" s="330"/>
      <c r="T240" s="207"/>
      <c r="U240" s="330"/>
      <c r="V240" s="330"/>
      <c r="W240" s="329"/>
      <c r="X240" s="329"/>
      <c r="Y240" s="329"/>
      <c r="Z240" s="329"/>
      <c r="AA240" s="329"/>
      <c r="AB240" s="329"/>
      <c r="AC240" s="329"/>
      <c r="AD240" s="329"/>
      <c r="AE240" s="329"/>
    </row>
    <row r="241" ht="15.75" customHeight="1">
      <c r="A241" s="330"/>
      <c r="B241" s="330"/>
      <c r="C241" s="330"/>
      <c r="D241" s="330"/>
      <c r="E241" s="330"/>
      <c r="F241" s="330"/>
      <c r="G241" s="330"/>
      <c r="H241" s="330"/>
      <c r="I241" s="330"/>
      <c r="J241" s="330"/>
      <c r="K241" s="330"/>
      <c r="L241" s="330"/>
      <c r="M241" s="330"/>
      <c r="N241" s="330"/>
      <c r="O241" s="330"/>
      <c r="P241" s="330"/>
      <c r="Q241" s="330"/>
      <c r="R241" s="330"/>
      <c r="S241" s="330"/>
      <c r="T241" s="207"/>
      <c r="U241" s="330"/>
      <c r="V241" s="330"/>
      <c r="W241" s="329"/>
      <c r="X241" s="329"/>
      <c r="Y241" s="329"/>
      <c r="Z241" s="329"/>
      <c r="AA241" s="329"/>
      <c r="AB241" s="329"/>
      <c r="AC241" s="329"/>
      <c r="AD241" s="329"/>
      <c r="AE241" s="329"/>
    </row>
    <row r="242" ht="15.75" customHeight="1">
      <c r="A242" s="330"/>
      <c r="B242" s="330"/>
      <c r="C242" s="330"/>
      <c r="D242" s="330"/>
      <c r="E242" s="330"/>
      <c r="F242" s="330"/>
      <c r="G242" s="330"/>
      <c r="H242" s="330"/>
      <c r="I242" s="330"/>
      <c r="J242" s="330"/>
      <c r="K242" s="330"/>
      <c r="L242" s="330"/>
      <c r="M242" s="330"/>
      <c r="N242" s="330"/>
      <c r="O242" s="330"/>
      <c r="P242" s="330"/>
      <c r="Q242" s="330"/>
      <c r="R242" s="330"/>
      <c r="S242" s="330"/>
      <c r="T242" s="207"/>
      <c r="U242" s="330"/>
      <c r="V242" s="330"/>
      <c r="W242" s="329"/>
      <c r="X242" s="329"/>
      <c r="Y242" s="329"/>
      <c r="Z242" s="329"/>
      <c r="AA242" s="329"/>
      <c r="AB242" s="329"/>
      <c r="AC242" s="329"/>
      <c r="AD242" s="329"/>
      <c r="AE242" s="329"/>
    </row>
    <row r="243" ht="15.75" customHeight="1">
      <c r="A243" s="330"/>
      <c r="B243" s="330"/>
      <c r="C243" s="330"/>
      <c r="D243" s="330"/>
      <c r="E243" s="330"/>
      <c r="F243" s="330"/>
      <c r="G243" s="330"/>
      <c r="H243" s="330"/>
      <c r="I243" s="330"/>
      <c r="J243" s="330"/>
      <c r="K243" s="330"/>
      <c r="L243" s="330"/>
      <c r="M243" s="330"/>
      <c r="N243" s="330"/>
      <c r="O243" s="330"/>
      <c r="P243" s="330"/>
      <c r="Q243" s="330"/>
      <c r="R243" s="330"/>
      <c r="S243" s="330"/>
      <c r="T243" s="207"/>
      <c r="U243" s="330"/>
      <c r="V243" s="330"/>
      <c r="W243" s="329"/>
      <c r="X243" s="329"/>
      <c r="Y243" s="329"/>
      <c r="Z243" s="329"/>
      <c r="AA243" s="329"/>
      <c r="AB243" s="329"/>
      <c r="AC243" s="329"/>
      <c r="AD243" s="329"/>
      <c r="AE243" s="329"/>
    </row>
    <row r="244" ht="15.75" customHeight="1">
      <c r="A244" s="330"/>
      <c r="B244" s="330"/>
      <c r="C244" s="330"/>
      <c r="D244" s="330"/>
      <c r="E244" s="330"/>
      <c r="F244" s="330"/>
      <c r="G244" s="330"/>
      <c r="H244" s="330"/>
      <c r="I244" s="330"/>
      <c r="J244" s="330"/>
      <c r="K244" s="330"/>
      <c r="L244" s="330"/>
      <c r="M244" s="330"/>
      <c r="N244" s="330"/>
      <c r="O244" s="330"/>
      <c r="P244" s="330"/>
      <c r="Q244" s="330"/>
      <c r="R244" s="330"/>
      <c r="S244" s="330"/>
      <c r="T244" s="207"/>
      <c r="U244" s="330"/>
      <c r="V244" s="330"/>
      <c r="W244" s="329"/>
      <c r="X244" s="329"/>
      <c r="Y244" s="329"/>
      <c r="Z244" s="329"/>
      <c r="AA244" s="329"/>
      <c r="AB244" s="329"/>
      <c r="AC244" s="329"/>
      <c r="AD244" s="329"/>
      <c r="AE244" s="329"/>
    </row>
    <row r="245" ht="15.75" customHeight="1">
      <c r="A245" s="330"/>
      <c r="B245" s="330"/>
      <c r="C245" s="330"/>
      <c r="D245" s="330"/>
      <c r="E245" s="330"/>
      <c r="F245" s="330"/>
      <c r="G245" s="330"/>
      <c r="H245" s="330"/>
      <c r="I245" s="330"/>
      <c r="J245" s="330"/>
      <c r="K245" s="330"/>
      <c r="L245" s="330"/>
      <c r="M245" s="330"/>
      <c r="N245" s="330"/>
      <c r="O245" s="330"/>
      <c r="P245" s="330"/>
      <c r="Q245" s="330"/>
      <c r="R245" s="330"/>
      <c r="S245" s="330"/>
      <c r="T245" s="207"/>
      <c r="U245" s="330"/>
      <c r="V245" s="330"/>
      <c r="W245" s="329"/>
      <c r="X245" s="329"/>
      <c r="Y245" s="329"/>
      <c r="Z245" s="329"/>
      <c r="AA245" s="329"/>
      <c r="AB245" s="329"/>
      <c r="AC245" s="329"/>
      <c r="AD245" s="329"/>
      <c r="AE245" s="329"/>
    </row>
    <row r="246" ht="15.75" customHeight="1">
      <c r="A246" s="330"/>
      <c r="B246" s="330"/>
      <c r="C246" s="330"/>
      <c r="D246" s="330"/>
      <c r="E246" s="330"/>
      <c r="F246" s="330"/>
      <c r="G246" s="330"/>
      <c r="H246" s="330"/>
      <c r="I246" s="330"/>
      <c r="J246" s="330"/>
      <c r="K246" s="330"/>
      <c r="L246" s="330"/>
      <c r="M246" s="330"/>
      <c r="N246" s="330"/>
      <c r="O246" s="330"/>
      <c r="P246" s="330"/>
      <c r="Q246" s="330"/>
      <c r="R246" s="330"/>
      <c r="S246" s="330"/>
      <c r="T246" s="207"/>
      <c r="U246" s="330"/>
      <c r="V246" s="330"/>
      <c r="W246" s="329"/>
      <c r="X246" s="329"/>
      <c r="Y246" s="329"/>
      <c r="Z246" s="329"/>
      <c r="AA246" s="329"/>
      <c r="AB246" s="329"/>
      <c r="AC246" s="329"/>
      <c r="AD246" s="329"/>
      <c r="AE246" s="329"/>
    </row>
    <row r="247" ht="15.75" customHeight="1">
      <c r="A247" s="330"/>
      <c r="B247" s="330"/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N247" s="330"/>
      <c r="O247" s="330"/>
      <c r="P247" s="330"/>
      <c r="Q247" s="330"/>
      <c r="R247" s="330"/>
      <c r="S247" s="330"/>
      <c r="T247" s="207"/>
      <c r="U247" s="330"/>
      <c r="V247" s="330"/>
      <c r="W247" s="329"/>
      <c r="X247" s="329"/>
      <c r="Y247" s="329"/>
      <c r="Z247" s="329"/>
      <c r="AA247" s="329"/>
      <c r="AB247" s="329"/>
      <c r="AC247" s="329"/>
      <c r="AD247" s="329"/>
      <c r="AE247" s="329"/>
    </row>
    <row r="248" ht="15.75" customHeight="1">
      <c r="A248" s="330"/>
      <c r="B248" s="330"/>
      <c r="C248" s="330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N248" s="330"/>
      <c r="O248" s="330"/>
      <c r="P248" s="330"/>
      <c r="Q248" s="330"/>
      <c r="R248" s="330"/>
      <c r="S248" s="330"/>
      <c r="T248" s="207"/>
      <c r="U248" s="330"/>
      <c r="V248" s="330"/>
      <c r="W248" s="329"/>
      <c r="X248" s="329"/>
      <c r="Y248" s="329"/>
      <c r="Z248" s="329"/>
      <c r="AA248" s="329"/>
      <c r="AB248" s="329"/>
      <c r="AC248" s="329"/>
      <c r="AD248" s="329"/>
      <c r="AE248" s="329"/>
    </row>
    <row r="249" ht="15.75" customHeight="1">
      <c r="A249" s="330"/>
      <c r="B249" s="330"/>
      <c r="C249" s="330"/>
      <c r="D249" s="330"/>
      <c r="E249" s="330"/>
      <c r="F249" s="330"/>
      <c r="G249" s="330"/>
      <c r="H249" s="330"/>
      <c r="I249" s="330"/>
      <c r="J249" s="330"/>
      <c r="K249" s="330"/>
      <c r="L249" s="330"/>
      <c r="M249" s="330"/>
      <c r="N249" s="330"/>
      <c r="O249" s="330"/>
      <c r="P249" s="330"/>
      <c r="Q249" s="330"/>
      <c r="R249" s="330"/>
      <c r="S249" s="330"/>
      <c r="T249" s="207"/>
      <c r="U249" s="330"/>
      <c r="V249" s="330"/>
      <c r="W249" s="329"/>
      <c r="X249" s="329"/>
      <c r="Y249" s="329"/>
      <c r="Z249" s="329"/>
      <c r="AA249" s="329"/>
      <c r="AB249" s="329"/>
      <c r="AC249" s="329"/>
      <c r="AD249" s="329"/>
      <c r="AE249" s="329"/>
    </row>
    <row r="250" ht="15.75" customHeight="1">
      <c r="A250" s="330"/>
      <c r="B250" s="330"/>
      <c r="C250" s="330"/>
      <c r="D250" s="330"/>
      <c r="E250" s="330"/>
      <c r="F250" s="330"/>
      <c r="G250" s="330"/>
      <c r="H250" s="330"/>
      <c r="I250" s="330"/>
      <c r="J250" s="330"/>
      <c r="K250" s="330"/>
      <c r="L250" s="330"/>
      <c r="M250" s="330"/>
      <c r="N250" s="330"/>
      <c r="O250" s="330"/>
      <c r="P250" s="330"/>
      <c r="Q250" s="330"/>
      <c r="R250" s="330"/>
      <c r="S250" s="330"/>
      <c r="T250" s="207"/>
      <c r="U250" s="330"/>
      <c r="V250" s="330"/>
      <c r="W250" s="329"/>
      <c r="X250" s="329"/>
      <c r="Y250" s="329"/>
      <c r="Z250" s="329"/>
      <c r="AA250" s="329"/>
      <c r="AB250" s="329"/>
      <c r="AC250" s="329"/>
      <c r="AD250" s="329"/>
      <c r="AE250" s="329"/>
    </row>
    <row r="251" ht="15.75" customHeight="1">
      <c r="A251" s="330"/>
      <c r="B251" s="330"/>
      <c r="C251" s="330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N251" s="330"/>
      <c r="O251" s="330"/>
      <c r="P251" s="330"/>
      <c r="Q251" s="330"/>
      <c r="R251" s="330"/>
      <c r="S251" s="330"/>
      <c r="T251" s="207"/>
      <c r="U251" s="330"/>
      <c r="V251" s="330"/>
      <c r="W251" s="329"/>
      <c r="X251" s="329"/>
      <c r="Y251" s="329"/>
      <c r="Z251" s="329"/>
      <c r="AA251" s="329"/>
      <c r="AB251" s="329"/>
      <c r="AC251" s="329"/>
      <c r="AD251" s="329"/>
      <c r="AE251" s="329"/>
    </row>
    <row r="252" ht="15.75" customHeight="1">
      <c r="A252" s="330"/>
      <c r="B252" s="330"/>
      <c r="C252" s="330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N252" s="330"/>
      <c r="O252" s="330"/>
      <c r="P252" s="330"/>
      <c r="Q252" s="330"/>
      <c r="R252" s="330"/>
      <c r="S252" s="330"/>
      <c r="T252" s="207"/>
      <c r="U252" s="330"/>
      <c r="V252" s="330"/>
      <c r="W252" s="329"/>
      <c r="X252" s="329"/>
      <c r="Y252" s="329"/>
      <c r="Z252" s="329"/>
      <c r="AA252" s="329"/>
      <c r="AB252" s="329"/>
      <c r="AC252" s="329"/>
      <c r="AD252" s="329"/>
      <c r="AE252" s="329"/>
    </row>
    <row r="253" ht="15.75" customHeight="1">
      <c r="A253" s="330"/>
      <c r="B253" s="330"/>
      <c r="C253" s="330"/>
      <c r="D253" s="330"/>
      <c r="E253" s="330"/>
      <c r="F253" s="330"/>
      <c r="G253" s="330"/>
      <c r="H253" s="330"/>
      <c r="I253" s="330"/>
      <c r="J253" s="330"/>
      <c r="K253" s="330"/>
      <c r="L253" s="330"/>
      <c r="M253" s="330"/>
      <c r="N253" s="330"/>
      <c r="O253" s="330"/>
      <c r="P253" s="330"/>
      <c r="Q253" s="330"/>
      <c r="R253" s="330"/>
      <c r="S253" s="330"/>
      <c r="T253" s="207"/>
      <c r="U253" s="330"/>
      <c r="V253" s="330"/>
      <c r="W253" s="329"/>
      <c r="X253" s="329"/>
      <c r="Y253" s="329"/>
      <c r="Z253" s="329"/>
      <c r="AA253" s="329"/>
      <c r="AB253" s="329"/>
      <c r="AC253" s="329"/>
      <c r="AD253" s="329"/>
      <c r="AE253" s="329"/>
    </row>
    <row r="254" ht="15.75" customHeight="1">
      <c r="A254" s="330"/>
      <c r="B254" s="330"/>
      <c r="C254" s="330"/>
      <c r="D254" s="330"/>
      <c r="E254" s="330"/>
      <c r="F254" s="330"/>
      <c r="G254" s="330"/>
      <c r="H254" s="330"/>
      <c r="I254" s="330"/>
      <c r="J254" s="330"/>
      <c r="K254" s="330"/>
      <c r="L254" s="330"/>
      <c r="M254" s="330"/>
      <c r="N254" s="330"/>
      <c r="O254" s="330"/>
      <c r="P254" s="330"/>
      <c r="Q254" s="330"/>
      <c r="R254" s="330"/>
      <c r="S254" s="330"/>
      <c r="T254" s="207"/>
      <c r="U254" s="330"/>
      <c r="V254" s="330"/>
      <c r="W254" s="329"/>
      <c r="X254" s="329"/>
      <c r="Y254" s="329"/>
      <c r="Z254" s="329"/>
      <c r="AA254" s="329"/>
      <c r="AB254" s="329"/>
      <c r="AC254" s="329"/>
      <c r="AD254" s="329"/>
      <c r="AE254" s="329"/>
    </row>
    <row r="255" ht="15.75" customHeight="1">
      <c r="A255" s="330"/>
      <c r="B255" s="330"/>
      <c r="C255" s="330"/>
      <c r="D255" s="330"/>
      <c r="E255" s="330"/>
      <c r="F255" s="330"/>
      <c r="G255" s="330"/>
      <c r="H255" s="330"/>
      <c r="I255" s="330"/>
      <c r="J255" s="330"/>
      <c r="K255" s="330"/>
      <c r="L255" s="330"/>
      <c r="M255" s="330"/>
      <c r="N255" s="330"/>
      <c r="O255" s="330"/>
      <c r="P255" s="330"/>
      <c r="Q255" s="330"/>
      <c r="R255" s="330"/>
      <c r="S255" s="330"/>
      <c r="T255" s="207"/>
      <c r="U255" s="330"/>
      <c r="V255" s="330"/>
      <c r="W255" s="329"/>
      <c r="X255" s="329"/>
      <c r="Y255" s="329"/>
      <c r="Z255" s="329"/>
      <c r="AA255" s="329"/>
      <c r="AB255" s="329"/>
      <c r="AC255" s="329"/>
      <c r="AD255" s="329"/>
      <c r="AE255" s="329"/>
    </row>
    <row r="256" ht="15.75" customHeight="1">
      <c r="A256" s="330"/>
      <c r="B256" s="330"/>
      <c r="C256" s="330"/>
      <c r="D256" s="330"/>
      <c r="E256" s="330"/>
      <c r="F256" s="330"/>
      <c r="G256" s="330"/>
      <c r="H256" s="330"/>
      <c r="I256" s="330"/>
      <c r="J256" s="330"/>
      <c r="K256" s="330"/>
      <c r="L256" s="330"/>
      <c r="M256" s="330"/>
      <c r="N256" s="330"/>
      <c r="O256" s="330"/>
      <c r="P256" s="330"/>
      <c r="Q256" s="330"/>
      <c r="R256" s="330"/>
      <c r="S256" s="330"/>
      <c r="T256" s="207"/>
      <c r="U256" s="330"/>
      <c r="V256" s="330"/>
      <c r="W256" s="329"/>
      <c r="X256" s="329"/>
      <c r="Y256" s="329"/>
      <c r="Z256" s="329"/>
      <c r="AA256" s="329"/>
      <c r="AB256" s="329"/>
      <c r="AC256" s="329"/>
      <c r="AD256" s="329"/>
      <c r="AE256" s="329"/>
    </row>
    <row r="257" ht="15.75" customHeight="1">
      <c r="A257" s="330"/>
      <c r="B257" s="330"/>
      <c r="C257" s="330"/>
      <c r="D257" s="330"/>
      <c r="E257" s="330"/>
      <c r="F257" s="330"/>
      <c r="G257" s="330"/>
      <c r="H257" s="330"/>
      <c r="I257" s="330"/>
      <c r="J257" s="330"/>
      <c r="K257" s="330"/>
      <c r="L257" s="330"/>
      <c r="M257" s="330"/>
      <c r="N257" s="330"/>
      <c r="O257" s="330"/>
      <c r="P257" s="330"/>
      <c r="Q257" s="330"/>
      <c r="R257" s="330"/>
      <c r="S257" s="330"/>
      <c r="T257" s="207"/>
      <c r="U257" s="330"/>
      <c r="V257" s="330"/>
      <c r="W257" s="329"/>
      <c r="X257" s="329"/>
      <c r="Y257" s="329"/>
      <c r="Z257" s="329"/>
      <c r="AA257" s="329"/>
      <c r="AB257" s="329"/>
      <c r="AC257" s="329"/>
      <c r="AD257" s="329"/>
      <c r="AE257" s="329"/>
    </row>
    <row r="258" ht="15.75" customHeight="1">
      <c r="A258" s="330"/>
      <c r="B258" s="330"/>
      <c r="C258" s="330"/>
      <c r="D258" s="330"/>
      <c r="E258" s="330"/>
      <c r="F258" s="330"/>
      <c r="G258" s="330"/>
      <c r="H258" s="330"/>
      <c r="I258" s="330"/>
      <c r="J258" s="330"/>
      <c r="K258" s="330"/>
      <c r="L258" s="330"/>
      <c r="M258" s="330"/>
      <c r="N258" s="330"/>
      <c r="O258" s="330"/>
      <c r="P258" s="330"/>
      <c r="Q258" s="330"/>
      <c r="R258" s="330"/>
      <c r="S258" s="330"/>
      <c r="T258" s="207"/>
      <c r="U258" s="330"/>
      <c r="V258" s="330"/>
      <c r="W258" s="329"/>
      <c r="X258" s="329"/>
      <c r="Y258" s="329"/>
      <c r="Z258" s="329"/>
      <c r="AA258" s="329"/>
      <c r="AB258" s="329"/>
      <c r="AC258" s="329"/>
      <c r="AD258" s="329"/>
      <c r="AE258" s="329"/>
    </row>
    <row r="259" ht="15.75" customHeight="1">
      <c r="A259" s="330"/>
      <c r="B259" s="330"/>
      <c r="C259" s="330"/>
      <c r="D259" s="330"/>
      <c r="E259" s="330"/>
      <c r="F259" s="330"/>
      <c r="G259" s="330"/>
      <c r="H259" s="330"/>
      <c r="I259" s="330"/>
      <c r="J259" s="330"/>
      <c r="K259" s="330"/>
      <c r="L259" s="330"/>
      <c r="M259" s="330"/>
      <c r="N259" s="330"/>
      <c r="O259" s="330"/>
      <c r="P259" s="330"/>
      <c r="Q259" s="330"/>
      <c r="R259" s="330"/>
      <c r="S259" s="330"/>
      <c r="T259" s="207"/>
      <c r="U259" s="330"/>
      <c r="V259" s="330"/>
      <c r="W259" s="329"/>
      <c r="X259" s="329"/>
      <c r="Y259" s="329"/>
      <c r="Z259" s="329"/>
      <c r="AA259" s="329"/>
      <c r="AB259" s="329"/>
      <c r="AC259" s="329"/>
      <c r="AD259" s="329"/>
      <c r="AE259" s="329"/>
    </row>
    <row r="260" ht="15.75" customHeight="1">
      <c r="A260" s="330"/>
      <c r="B260" s="330"/>
      <c r="C260" s="330"/>
      <c r="D260" s="330"/>
      <c r="E260" s="330"/>
      <c r="F260" s="330"/>
      <c r="G260" s="330"/>
      <c r="H260" s="330"/>
      <c r="I260" s="330"/>
      <c r="J260" s="330"/>
      <c r="K260" s="330"/>
      <c r="L260" s="330"/>
      <c r="M260" s="330"/>
      <c r="N260" s="330"/>
      <c r="O260" s="330"/>
      <c r="P260" s="330"/>
      <c r="Q260" s="330"/>
      <c r="R260" s="330"/>
      <c r="S260" s="330"/>
      <c r="T260" s="207"/>
      <c r="U260" s="330"/>
      <c r="V260" s="330"/>
      <c r="W260" s="329"/>
      <c r="X260" s="329"/>
      <c r="Y260" s="329"/>
      <c r="Z260" s="329"/>
      <c r="AA260" s="329"/>
      <c r="AB260" s="329"/>
      <c r="AC260" s="329"/>
      <c r="AD260" s="329"/>
      <c r="AE260" s="329"/>
    </row>
    <row r="261" ht="15.75" customHeight="1">
      <c r="A261" s="330"/>
      <c r="B261" s="330"/>
      <c r="C261" s="330"/>
      <c r="D261" s="330"/>
      <c r="E261" s="330"/>
      <c r="F261" s="330"/>
      <c r="G261" s="330"/>
      <c r="H261" s="330"/>
      <c r="I261" s="330"/>
      <c r="J261" s="330"/>
      <c r="K261" s="330"/>
      <c r="L261" s="330"/>
      <c r="M261" s="330"/>
      <c r="N261" s="330"/>
      <c r="O261" s="330"/>
      <c r="P261" s="330"/>
      <c r="Q261" s="330"/>
      <c r="R261" s="330"/>
      <c r="S261" s="330"/>
      <c r="T261" s="207"/>
      <c r="U261" s="330"/>
      <c r="V261" s="330"/>
      <c r="W261" s="329"/>
      <c r="X261" s="329"/>
      <c r="Y261" s="329"/>
      <c r="Z261" s="329"/>
      <c r="AA261" s="329"/>
      <c r="AB261" s="329"/>
      <c r="AC261" s="329"/>
      <c r="AD261" s="329"/>
      <c r="AE261" s="329"/>
    </row>
    <row r="262" ht="15.75" customHeight="1">
      <c r="A262" s="330"/>
      <c r="B262" s="330"/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N262" s="330"/>
      <c r="O262" s="330"/>
      <c r="P262" s="330"/>
      <c r="Q262" s="330"/>
      <c r="R262" s="330"/>
      <c r="S262" s="330"/>
      <c r="T262" s="207"/>
      <c r="U262" s="330"/>
      <c r="V262" s="330"/>
      <c r="W262" s="329"/>
      <c r="X262" s="329"/>
      <c r="Y262" s="329"/>
      <c r="Z262" s="329"/>
      <c r="AA262" s="329"/>
      <c r="AB262" s="329"/>
      <c r="AC262" s="329"/>
      <c r="AD262" s="329"/>
      <c r="AE262" s="329"/>
    </row>
    <row r="263" ht="15.75" customHeight="1">
      <c r="A263" s="330"/>
      <c r="B263" s="330"/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0"/>
      <c r="T263" s="207"/>
      <c r="U263" s="330"/>
      <c r="V263" s="330"/>
      <c r="W263" s="329"/>
      <c r="X263" s="329"/>
      <c r="Y263" s="329"/>
      <c r="Z263" s="329"/>
      <c r="AA263" s="329"/>
      <c r="AB263" s="329"/>
      <c r="AC263" s="329"/>
      <c r="AD263" s="329"/>
      <c r="AE263" s="329"/>
    </row>
    <row r="264" ht="15.75" customHeight="1">
      <c r="A264" s="330"/>
      <c r="B264" s="330"/>
      <c r="C264" s="330"/>
      <c r="D264" s="330"/>
      <c r="E264" s="330"/>
      <c r="F264" s="330"/>
      <c r="G264" s="330"/>
      <c r="H264" s="330"/>
      <c r="I264" s="330"/>
      <c r="J264" s="330"/>
      <c r="K264" s="330"/>
      <c r="L264" s="330"/>
      <c r="M264" s="330"/>
      <c r="N264" s="330"/>
      <c r="O264" s="330"/>
      <c r="P264" s="330"/>
      <c r="Q264" s="330"/>
      <c r="R264" s="330"/>
      <c r="S264" s="330"/>
      <c r="T264" s="207"/>
      <c r="U264" s="330"/>
      <c r="V264" s="330"/>
      <c r="W264" s="329"/>
      <c r="X264" s="329"/>
      <c r="Y264" s="329"/>
      <c r="Z264" s="329"/>
      <c r="AA264" s="329"/>
      <c r="AB264" s="329"/>
      <c r="AC264" s="329"/>
      <c r="AD264" s="329"/>
      <c r="AE264" s="329"/>
    </row>
    <row r="265" ht="15.75" customHeight="1">
      <c r="A265" s="330"/>
      <c r="B265" s="330"/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N265" s="330"/>
      <c r="O265" s="330"/>
      <c r="P265" s="330"/>
      <c r="Q265" s="330"/>
      <c r="R265" s="330"/>
      <c r="S265" s="330"/>
      <c r="T265" s="207"/>
      <c r="U265" s="330"/>
      <c r="V265" s="330"/>
      <c r="W265" s="329"/>
      <c r="X265" s="329"/>
      <c r="Y265" s="329"/>
      <c r="Z265" s="329"/>
      <c r="AA265" s="329"/>
      <c r="AB265" s="329"/>
      <c r="AC265" s="329"/>
      <c r="AD265" s="329"/>
      <c r="AE265" s="329"/>
    </row>
    <row r="266" ht="15.75" customHeight="1">
      <c r="A266" s="330"/>
      <c r="B266" s="330"/>
      <c r="C266" s="330"/>
      <c r="D266" s="330"/>
      <c r="E266" s="330"/>
      <c r="F266" s="330"/>
      <c r="G266" s="330"/>
      <c r="H266" s="330"/>
      <c r="I266" s="330"/>
      <c r="J266" s="330"/>
      <c r="K266" s="330"/>
      <c r="L266" s="330"/>
      <c r="M266" s="330"/>
      <c r="N266" s="330"/>
      <c r="O266" s="330"/>
      <c r="P266" s="330"/>
      <c r="Q266" s="330"/>
      <c r="R266" s="330"/>
      <c r="S266" s="330"/>
      <c r="T266" s="207"/>
      <c r="U266" s="330"/>
      <c r="V266" s="330"/>
      <c r="W266" s="329"/>
      <c r="X266" s="329"/>
      <c r="Y266" s="329"/>
      <c r="Z266" s="329"/>
      <c r="AA266" s="329"/>
      <c r="AB266" s="329"/>
      <c r="AC266" s="329"/>
      <c r="AD266" s="329"/>
      <c r="AE266" s="329"/>
    </row>
    <row r="267" ht="15.75" customHeight="1">
      <c r="A267" s="330"/>
      <c r="B267" s="330"/>
      <c r="C267" s="330"/>
      <c r="D267" s="330"/>
      <c r="E267" s="330"/>
      <c r="F267" s="330"/>
      <c r="G267" s="330"/>
      <c r="H267" s="330"/>
      <c r="I267" s="330"/>
      <c r="J267" s="330"/>
      <c r="K267" s="330"/>
      <c r="L267" s="330"/>
      <c r="M267" s="330"/>
      <c r="N267" s="330"/>
      <c r="O267" s="330"/>
      <c r="P267" s="330"/>
      <c r="Q267" s="330"/>
      <c r="R267" s="330"/>
      <c r="S267" s="330"/>
      <c r="T267" s="207"/>
      <c r="U267" s="330"/>
      <c r="V267" s="330"/>
      <c r="W267" s="329"/>
      <c r="X267" s="329"/>
      <c r="Y267" s="329"/>
      <c r="Z267" s="329"/>
      <c r="AA267" s="329"/>
      <c r="AB267" s="329"/>
      <c r="AC267" s="329"/>
      <c r="AD267" s="329"/>
      <c r="AE267" s="329"/>
    </row>
    <row r="268" ht="15.75" customHeight="1">
      <c r="A268" s="330"/>
      <c r="B268" s="330"/>
      <c r="C268" s="330"/>
      <c r="D268" s="330"/>
      <c r="E268" s="330"/>
      <c r="F268" s="330"/>
      <c r="G268" s="330"/>
      <c r="H268" s="330"/>
      <c r="I268" s="330"/>
      <c r="J268" s="330"/>
      <c r="K268" s="330"/>
      <c r="L268" s="330"/>
      <c r="M268" s="330"/>
      <c r="N268" s="330"/>
      <c r="O268" s="330"/>
      <c r="P268" s="330"/>
      <c r="Q268" s="330"/>
      <c r="R268" s="330"/>
      <c r="S268" s="330"/>
      <c r="T268" s="207"/>
      <c r="U268" s="330"/>
      <c r="V268" s="330"/>
      <c r="W268" s="329"/>
      <c r="X268" s="329"/>
      <c r="Y268" s="329"/>
      <c r="Z268" s="329"/>
      <c r="AA268" s="329"/>
      <c r="AB268" s="329"/>
      <c r="AC268" s="329"/>
      <c r="AD268" s="329"/>
      <c r="AE268" s="329"/>
    </row>
    <row r="269" ht="15.75" customHeight="1">
      <c r="A269" s="330"/>
      <c r="B269" s="330"/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N269" s="330"/>
      <c r="O269" s="330"/>
      <c r="P269" s="330"/>
      <c r="Q269" s="330"/>
      <c r="R269" s="330"/>
      <c r="S269" s="330"/>
      <c r="T269" s="207"/>
      <c r="U269" s="330"/>
      <c r="V269" s="330"/>
      <c r="W269" s="329"/>
      <c r="X269" s="329"/>
      <c r="Y269" s="329"/>
      <c r="Z269" s="329"/>
      <c r="AA269" s="329"/>
      <c r="AB269" s="329"/>
      <c r="AC269" s="329"/>
      <c r="AD269" s="329"/>
      <c r="AE269" s="329"/>
    </row>
    <row r="270" ht="15.75" customHeight="1">
      <c r="A270" s="330"/>
      <c r="B270" s="330"/>
      <c r="C270" s="330"/>
      <c r="D270" s="330"/>
      <c r="E270" s="330"/>
      <c r="F270" s="330"/>
      <c r="G270" s="330"/>
      <c r="H270" s="330"/>
      <c r="I270" s="330"/>
      <c r="J270" s="330"/>
      <c r="K270" s="330"/>
      <c r="L270" s="330"/>
      <c r="M270" s="330"/>
      <c r="N270" s="330"/>
      <c r="O270" s="330"/>
      <c r="P270" s="330"/>
      <c r="Q270" s="330"/>
      <c r="R270" s="330"/>
      <c r="S270" s="330"/>
      <c r="T270" s="207"/>
      <c r="U270" s="330"/>
      <c r="V270" s="330"/>
      <c r="W270" s="329"/>
      <c r="X270" s="329"/>
      <c r="Y270" s="329"/>
      <c r="Z270" s="329"/>
      <c r="AA270" s="329"/>
      <c r="AB270" s="329"/>
      <c r="AC270" s="329"/>
      <c r="AD270" s="329"/>
      <c r="AE270" s="329"/>
    </row>
    <row r="271" ht="15.75" customHeight="1">
      <c r="A271" s="330"/>
      <c r="B271" s="330"/>
      <c r="C271" s="330"/>
      <c r="D271" s="330"/>
      <c r="E271" s="330"/>
      <c r="F271" s="330"/>
      <c r="G271" s="330"/>
      <c r="H271" s="330"/>
      <c r="I271" s="330"/>
      <c r="J271" s="330"/>
      <c r="K271" s="330"/>
      <c r="L271" s="330"/>
      <c r="M271" s="330"/>
      <c r="N271" s="330"/>
      <c r="O271" s="330"/>
      <c r="P271" s="330"/>
      <c r="Q271" s="330"/>
      <c r="R271" s="330"/>
      <c r="S271" s="330"/>
      <c r="T271" s="207"/>
      <c r="U271" s="330"/>
      <c r="V271" s="330"/>
      <c r="W271" s="329"/>
      <c r="X271" s="329"/>
      <c r="Y271" s="329"/>
      <c r="Z271" s="329"/>
      <c r="AA271" s="329"/>
      <c r="AB271" s="329"/>
      <c r="AC271" s="329"/>
      <c r="AD271" s="329"/>
      <c r="AE271" s="329"/>
    </row>
    <row r="272" ht="15.75" customHeight="1">
      <c r="A272" s="330"/>
      <c r="B272" s="330"/>
      <c r="C272" s="330"/>
      <c r="D272" s="330"/>
      <c r="E272" s="330"/>
      <c r="F272" s="330"/>
      <c r="G272" s="330"/>
      <c r="H272" s="330"/>
      <c r="I272" s="330"/>
      <c r="J272" s="330"/>
      <c r="K272" s="330"/>
      <c r="L272" s="330"/>
      <c r="M272" s="330"/>
      <c r="N272" s="330"/>
      <c r="O272" s="330"/>
      <c r="P272" s="330"/>
      <c r="Q272" s="330"/>
      <c r="R272" s="330"/>
      <c r="S272" s="330"/>
      <c r="T272" s="207"/>
      <c r="U272" s="330"/>
      <c r="V272" s="330"/>
      <c r="W272" s="329"/>
      <c r="X272" s="329"/>
      <c r="Y272" s="329"/>
      <c r="Z272" s="329"/>
      <c r="AA272" s="329"/>
      <c r="AB272" s="329"/>
      <c r="AC272" s="329"/>
      <c r="AD272" s="329"/>
      <c r="AE272" s="329"/>
    </row>
    <row r="273" ht="15.75" customHeight="1">
      <c r="A273" s="330"/>
      <c r="B273" s="330"/>
      <c r="C273" s="330"/>
      <c r="D273" s="330"/>
      <c r="E273" s="330"/>
      <c r="F273" s="330"/>
      <c r="G273" s="330"/>
      <c r="H273" s="330"/>
      <c r="I273" s="330"/>
      <c r="J273" s="330"/>
      <c r="K273" s="330"/>
      <c r="L273" s="330"/>
      <c r="M273" s="330"/>
      <c r="N273" s="330"/>
      <c r="O273" s="330"/>
      <c r="P273" s="330"/>
      <c r="Q273" s="330"/>
      <c r="R273" s="330"/>
      <c r="S273" s="330"/>
      <c r="T273" s="207"/>
      <c r="U273" s="330"/>
      <c r="V273" s="330"/>
      <c r="W273" s="329"/>
      <c r="X273" s="329"/>
      <c r="Y273" s="329"/>
      <c r="Z273" s="329"/>
      <c r="AA273" s="329"/>
      <c r="AB273" s="329"/>
      <c r="AC273" s="329"/>
      <c r="AD273" s="329"/>
      <c r="AE273" s="329"/>
    </row>
    <row r="274" ht="15.75" customHeight="1">
      <c r="A274" s="330"/>
      <c r="B274" s="330"/>
      <c r="C274" s="330"/>
      <c r="D274" s="330"/>
      <c r="E274" s="330"/>
      <c r="F274" s="330"/>
      <c r="G274" s="330"/>
      <c r="H274" s="330"/>
      <c r="I274" s="330"/>
      <c r="J274" s="330"/>
      <c r="K274" s="330"/>
      <c r="L274" s="330"/>
      <c r="M274" s="330"/>
      <c r="N274" s="330"/>
      <c r="O274" s="330"/>
      <c r="P274" s="330"/>
      <c r="Q274" s="330"/>
      <c r="R274" s="330"/>
      <c r="S274" s="330"/>
      <c r="T274" s="207"/>
      <c r="U274" s="330"/>
      <c r="V274" s="330"/>
      <c r="W274" s="329"/>
      <c r="X274" s="329"/>
      <c r="Y274" s="329"/>
      <c r="Z274" s="329"/>
      <c r="AA274" s="329"/>
      <c r="AB274" s="329"/>
      <c r="AC274" s="329"/>
      <c r="AD274" s="329"/>
      <c r="AE274" s="329"/>
    </row>
    <row r="275" ht="15.75" customHeight="1">
      <c r="A275" s="330"/>
      <c r="B275" s="330"/>
      <c r="C275" s="330"/>
      <c r="D275" s="330"/>
      <c r="E275" s="330"/>
      <c r="F275" s="330"/>
      <c r="G275" s="330"/>
      <c r="H275" s="330"/>
      <c r="I275" s="330"/>
      <c r="J275" s="330"/>
      <c r="K275" s="330"/>
      <c r="L275" s="330"/>
      <c r="M275" s="330"/>
      <c r="N275" s="330"/>
      <c r="O275" s="330"/>
      <c r="P275" s="330"/>
      <c r="Q275" s="330"/>
      <c r="R275" s="330"/>
      <c r="S275" s="330"/>
      <c r="T275" s="207"/>
      <c r="U275" s="330"/>
      <c r="V275" s="330"/>
      <c r="W275" s="329"/>
      <c r="X275" s="329"/>
      <c r="Y275" s="329"/>
      <c r="Z275" s="329"/>
      <c r="AA275" s="329"/>
      <c r="AB275" s="329"/>
      <c r="AC275" s="329"/>
      <c r="AD275" s="329"/>
      <c r="AE275" s="329"/>
    </row>
    <row r="276" ht="15.75" customHeight="1">
      <c r="A276" s="330"/>
      <c r="B276" s="330"/>
      <c r="C276" s="330"/>
      <c r="D276" s="330"/>
      <c r="E276" s="330"/>
      <c r="F276" s="330"/>
      <c r="G276" s="330"/>
      <c r="H276" s="330"/>
      <c r="I276" s="330"/>
      <c r="J276" s="330"/>
      <c r="K276" s="330"/>
      <c r="L276" s="330"/>
      <c r="M276" s="330"/>
      <c r="N276" s="330"/>
      <c r="O276" s="330"/>
      <c r="P276" s="330"/>
      <c r="Q276" s="330"/>
      <c r="R276" s="330"/>
      <c r="S276" s="330"/>
      <c r="T276" s="207"/>
      <c r="U276" s="330"/>
      <c r="V276" s="330"/>
      <c r="W276" s="329"/>
      <c r="X276" s="329"/>
      <c r="Y276" s="329"/>
      <c r="Z276" s="329"/>
      <c r="AA276" s="329"/>
      <c r="AB276" s="329"/>
      <c r="AC276" s="329"/>
      <c r="AD276" s="329"/>
      <c r="AE276" s="329"/>
    </row>
    <row r="277" ht="15.75" customHeight="1">
      <c r="A277" s="330"/>
      <c r="B277" s="330"/>
      <c r="C277" s="330"/>
      <c r="D277" s="330"/>
      <c r="E277" s="330"/>
      <c r="F277" s="330"/>
      <c r="G277" s="330"/>
      <c r="H277" s="330"/>
      <c r="I277" s="330"/>
      <c r="J277" s="330"/>
      <c r="K277" s="330"/>
      <c r="L277" s="330"/>
      <c r="M277" s="330"/>
      <c r="N277" s="330"/>
      <c r="O277" s="330"/>
      <c r="P277" s="330"/>
      <c r="Q277" s="330"/>
      <c r="R277" s="330"/>
      <c r="S277" s="330"/>
      <c r="T277" s="207"/>
      <c r="U277" s="330"/>
      <c r="V277" s="330"/>
      <c r="W277" s="329"/>
      <c r="X277" s="329"/>
      <c r="Y277" s="329"/>
      <c r="Z277" s="329"/>
      <c r="AA277" s="329"/>
      <c r="AB277" s="329"/>
      <c r="AC277" s="329"/>
      <c r="AD277" s="329"/>
      <c r="AE277" s="329"/>
    </row>
    <row r="278" ht="15.75" customHeight="1">
      <c r="A278" s="330"/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  <c r="T278" s="207"/>
      <c r="U278" s="330"/>
      <c r="V278" s="330"/>
      <c r="W278" s="329"/>
      <c r="X278" s="329"/>
      <c r="Y278" s="329"/>
      <c r="Z278" s="329"/>
      <c r="AA278" s="329"/>
      <c r="AB278" s="329"/>
      <c r="AC278" s="329"/>
      <c r="AD278" s="329"/>
      <c r="AE278" s="329"/>
    </row>
    <row r="279" ht="15.75" customHeight="1">
      <c r="A279" s="330"/>
      <c r="B279" s="330"/>
      <c r="C279" s="330"/>
      <c r="D279" s="330"/>
      <c r="E279" s="330"/>
      <c r="F279" s="330"/>
      <c r="G279" s="330"/>
      <c r="H279" s="330"/>
      <c r="I279" s="330"/>
      <c r="J279" s="330"/>
      <c r="K279" s="330"/>
      <c r="L279" s="330"/>
      <c r="M279" s="330"/>
      <c r="N279" s="330"/>
      <c r="O279" s="330"/>
      <c r="P279" s="330"/>
      <c r="Q279" s="330"/>
      <c r="R279" s="330"/>
      <c r="S279" s="330"/>
      <c r="T279" s="207"/>
      <c r="U279" s="330"/>
      <c r="V279" s="330"/>
      <c r="W279" s="329"/>
      <c r="X279" s="329"/>
      <c r="Y279" s="329"/>
      <c r="Z279" s="329"/>
      <c r="AA279" s="329"/>
      <c r="AB279" s="329"/>
      <c r="AC279" s="329"/>
      <c r="AD279" s="329"/>
      <c r="AE279" s="329"/>
    </row>
    <row r="280" ht="15.75" customHeight="1">
      <c r="A280" s="330"/>
      <c r="B280" s="330"/>
      <c r="C280" s="330"/>
      <c r="D280" s="330"/>
      <c r="E280" s="330"/>
      <c r="F280" s="330"/>
      <c r="G280" s="330"/>
      <c r="H280" s="330"/>
      <c r="I280" s="330"/>
      <c r="J280" s="330"/>
      <c r="K280" s="330"/>
      <c r="L280" s="330"/>
      <c r="M280" s="330"/>
      <c r="N280" s="330"/>
      <c r="O280" s="330"/>
      <c r="P280" s="330"/>
      <c r="Q280" s="330"/>
      <c r="R280" s="330"/>
      <c r="S280" s="330"/>
      <c r="T280" s="207"/>
      <c r="U280" s="330"/>
      <c r="V280" s="330"/>
      <c r="W280" s="329"/>
      <c r="X280" s="329"/>
      <c r="Y280" s="329"/>
      <c r="Z280" s="329"/>
      <c r="AA280" s="329"/>
      <c r="AB280" s="329"/>
      <c r="AC280" s="329"/>
      <c r="AD280" s="329"/>
      <c r="AE280" s="329"/>
    </row>
    <row r="281" ht="15.75" customHeight="1">
      <c r="A281" s="330"/>
      <c r="B281" s="330"/>
      <c r="C281" s="330"/>
      <c r="D281" s="330"/>
      <c r="E281" s="330"/>
      <c r="F281" s="330"/>
      <c r="G281" s="330"/>
      <c r="H281" s="330"/>
      <c r="I281" s="330"/>
      <c r="J281" s="330"/>
      <c r="K281" s="330"/>
      <c r="L281" s="330"/>
      <c r="M281" s="330"/>
      <c r="N281" s="330"/>
      <c r="O281" s="330"/>
      <c r="P281" s="330"/>
      <c r="Q281" s="330"/>
      <c r="R281" s="330"/>
      <c r="S281" s="330"/>
      <c r="T281" s="207"/>
      <c r="U281" s="330"/>
      <c r="V281" s="330"/>
      <c r="W281" s="329"/>
      <c r="X281" s="329"/>
      <c r="Y281" s="329"/>
      <c r="Z281" s="329"/>
      <c r="AA281" s="329"/>
      <c r="AB281" s="329"/>
      <c r="AC281" s="329"/>
      <c r="AD281" s="329"/>
      <c r="AE281" s="329"/>
    </row>
    <row r="282" ht="15.75" customHeight="1">
      <c r="A282" s="330"/>
      <c r="B282" s="330"/>
      <c r="C282" s="330"/>
      <c r="D282" s="330"/>
      <c r="E282" s="330"/>
      <c r="F282" s="330"/>
      <c r="G282" s="330"/>
      <c r="H282" s="330"/>
      <c r="I282" s="330"/>
      <c r="J282" s="330"/>
      <c r="K282" s="330"/>
      <c r="L282" s="330"/>
      <c r="M282" s="330"/>
      <c r="N282" s="330"/>
      <c r="O282" s="330"/>
      <c r="P282" s="330"/>
      <c r="Q282" s="330"/>
      <c r="R282" s="330"/>
      <c r="S282" s="330"/>
      <c r="T282" s="207"/>
      <c r="U282" s="330"/>
      <c r="V282" s="330"/>
      <c r="W282" s="329"/>
      <c r="X282" s="329"/>
      <c r="Y282" s="329"/>
      <c r="Z282" s="329"/>
      <c r="AA282" s="329"/>
      <c r="AB282" s="329"/>
      <c r="AC282" s="329"/>
      <c r="AD282" s="329"/>
      <c r="AE282" s="329"/>
    </row>
    <row r="283" ht="15.75" customHeight="1">
      <c r="A283" s="330"/>
      <c r="B283" s="330"/>
      <c r="C283" s="330"/>
      <c r="D283" s="330"/>
      <c r="E283" s="330"/>
      <c r="F283" s="330"/>
      <c r="G283" s="330"/>
      <c r="H283" s="330"/>
      <c r="I283" s="330"/>
      <c r="J283" s="330"/>
      <c r="K283" s="330"/>
      <c r="L283" s="330"/>
      <c r="M283" s="330"/>
      <c r="N283" s="330"/>
      <c r="O283" s="330"/>
      <c r="P283" s="330"/>
      <c r="Q283" s="330"/>
      <c r="R283" s="330"/>
      <c r="S283" s="330"/>
      <c r="T283" s="207"/>
      <c r="U283" s="330"/>
      <c r="V283" s="330"/>
      <c r="W283" s="329"/>
      <c r="X283" s="329"/>
      <c r="Y283" s="329"/>
      <c r="Z283" s="329"/>
      <c r="AA283" s="329"/>
      <c r="AB283" s="329"/>
      <c r="AC283" s="329"/>
      <c r="AD283" s="329"/>
      <c r="AE283" s="329"/>
    </row>
    <row r="284" ht="15.75" customHeight="1">
      <c r="A284" s="330"/>
      <c r="B284" s="330"/>
      <c r="C284" s="330"/>
      <c r="D284" s="330"/>
      <c r="E284" s="330"/>
      <c r="F284" s="330"/>
      <c r="G284" s="330"/>
      <c r="H284" s="330"/>
      <c r="I284" s="330"/>
      <c r="J284" s="330"/>
      <c r="K284" s="330"/>
      <c r="L284" s="330"/>
      <c r="M284" s="330"/>
      <c r="N284" s="330"/>
      <c r="O284" s="330"/>
      <c r="P284" s="330"/>
      <c r="Q284" s="330"/>
      <c r="R284" s="330"/>
      <c r="S284" s="330"/>
      <c r="T284" s="207"/>
      <c r="U284" s="330"/>
      <c r="V284" s="330"/>
      <c r="W284" s="329"/>
      <c r="X284" s="329"/>
      <c r="Y284" s="329"/>
      <c r="Z284" s="329"/>
      <c r="AA284" s="329"/>
      <c r="AB284" s="329"/>
      <c r="AC284" s="329"/>
      <c r="AD284" s="329"/>
      <c r="AE284" s="329"/>
    </row>
    <row r="285" ht="15.75" customHeight="1">
      <c r="A285" s="330"/>
      <c r="B285" s="330"/>
      <c r="C285" s="330"/>
      <c r="D285" s="330"/>
      <c r="E285" s="330"/>
      <c r="F285" s="330"/>
      <c r="G285" s="330"/>
      <c r="H285" s="330"/>
      <c r="I285" s="330"/>
      <c r="J285" s="330"/>
      <c r="K285" s="330"/>
      <c r="L285" s="330"/>
      <c r="M285" s="330"/>
      <c r="N285" s="330"/>
      <c r="O285" s="330"/>
      <c r="P285" s="330"/>
      <c r="Q285" s="330"/>
      <c r="R285" s="330"/>
      <c r="S285" s="330"/>
      <c r="T285" s="207"/>
      <c r="U285" s="330"/>
      <c r="V285" s="330"/>
      <c r="W285" s="329"/>
      <c r="X285" s="329"/>
      <c r="Y285" s="329"/>
      <c r="Z285" s="329"/>
      <c r="AA285" s="329"/>
      <c r="AB285" s="329"/>
      <c r="AC285" s="329"/>
      <c r="AD285" s="329"/>
      <c r="AE285" s="329"/>
    </row>
    <row r="286" ht="15.75" customHeight="1">
      <c r="A286" s="330"/>
      <c r="B286" s="330"/>
      <c r="C286" s="330"/>
      <c r="D286" s="330"/>
      <c r="E286" s="330"/>
      <c r="F286" s="330"/>
      <c r="G286" s="330"/>
      <c r="H286" s="330"/>
      <c r="I286" s="330"/>
      <c r="J286" s="330"/>
      <c r="K286" s="330"/>
      <c r="L286" s="330"/>
      <c r="M286" s="330"/>
      <c r="N286" s="330"/>
      <c r="O286" s="330"/>
      <c r="P286" s="330"/>
      <c r="Q286" s="330"/>
      <c r="R286" s="330"/>
      <c r="S286" s="330"/>
      <c r="T286" s="207"/>
      <c r="U286" s="330"/>
      <c r="V286" s="330"/>
      <c r="W286" s="329"/>
      <c r="X286" s="329"/>
      <c r="Y286" s="329"/>
      <c r="Z286" s="329"/>
      <c r="AA286" s="329"/>
      <c r="AB286" s="329"/>
      <c r="AC286" s="329"/>
      <c r="AD286" s="329"/>
      <c r="AE286" s="329"/>
    </row>
    <row r="287" ht="15.75" customHeight="1">
      <c r="A287" s="330"/>
      <c r="B287" s="330"/>
      <c r="C287" s="330"/>
      <c r="D287" s="330"/>
      <c r="E287" s="330"/>
      <c r="F287" s="330"/>
      <c r="G287" s="330"/>
      <c r="H287" s="330"/>
      <c r="I287" s="330"/>
      <c r="J287" s="330"/>
      <c r="K287" s="330"/>
      <c r="L287" s="330"/>
      <c r="M287" s="330"/>
      <c r="N287" s="330"/>
      <c r="O287" s="330"/>
      <c r="P287" s="330"/>
      <c r="Q287" s="330"/>
      <c r="R287" s="330"/>
      <c r="S287" s="330"/>
      <c r="T287" s="207"/>
      <c r="U287" s="330"/>
      <c r="V287" s="330"/>
      <c r="W287" s="329"/>
      <c r="X287" s="329"/>
      <c r="Y287" s="329"/>
      <c r="Z287" s="329"/>
      <c r="AA287" s="329"/>
      <c r="AB287" s="329"/>
      <c r="AC287" s="329"/>
      <c r="AD287" s="329"/>
      <c r="AE287" s="329"/>
    </row>
    <row r="288" ht="15.75" customHeight="1">
      <c r="A288" s="330"/>
      <c r="B288" s="330"/>
      <c r="C288" s="330"/>
      <c r="D288" s="330"/>
      <c r="E288" s="330"/>
      <c r="F288" s="330"/>
      <c r="G288" s="330"/>
      <c r="H288" s="330"/>
      <c r="I288" s="330"/>
      <c r="J288" s="330"/>
      <c r="K288" s="330"/>
      <c r="L288" s="330"/>
      <c r="M288" s="330"/>
      <c r="N288" s="330"/>
      <c r="O288" s="330"/>
      <c r="P288" s="330"/>
      <c r="Q288" s="330"/>
      <c r="R288" s="330"/>
      <c r="S288" s="330"/>
      <c r="T288" s="207"/>
      <c r="U288" s="330"/>
      <c r="V288" s="330"/>
      <c r="W288" s="329"/>
      <c r="X288" s="329"/>
      <c r="Y288" s="329"/>
      <c r="Z288" s="329"/>
      <c r="AA288" s="329"/>
      <c r="AB288" s="329"/>
      <c r="AC288" s="329"/>
      <c r="AD288" s="329"/>
      <c r="AE288" s="329"/>
    </row>
    <row r="289" ht="15.75" customHeight="1">
      <c r="A289" s="330"/>
      <c r="B289" s="330"/>
      <c r="C289" s="330"/>
      <c r="D289" s="330"/>
      <c r="E289" s="330"/>
      <c r="F289" s="330"/>
      <c r="G289" s="330"/>
      <c r="H289" s="330"/>
      <c r="I289" s="330"/>
      <c r="J289" s="330"/>
      <c r="K289" s="330"/>
      <c r="L289" s="330"/>
      <c r="M289" s="330"/>
      <c r="N289" s="330"/>
      <c r="O289" s="330"/>
      <c r="P289" s="330"/>
      <c r="Q289" s="330"/>
      <c r="R289" s="330"/>
      <c r="S289" s="330"/>
      <c r="T289" s="207"/>
      <c r="U289" s="330"/>
      <c r="V289" s="330"/>
      <c r="W289" s="329"/>
      <c r="X289" s="329"/>
      <c r="Y289" s="329"/>
      <c r="Z289" s="329"/>
      <c r="AA289" s="329"/>
      <c r="AB289" s="329"/>
      <c r="AC289" s="329"/>
      <c r="AD289" s="329"/>
      <c r="AE289" s="329"/>
    </row>
    <row r="290" ht="15.75" customHeight="1">
      <c r="A290" s="330"/>
      <c r="B290" s="330"/>
      <c r="C290" s="330"/>
      <c r="D290" s="330"/>
      <c r="E290" s="330"/>
      <c r="F290" s="330"/>
      <c r="G290" s="330"/>
      <c r="H290" s="330"/>
      <c r="I290" s="330"/>
      <c r="J290" s="330"/>
      <c r="K290" s="330"/>
      <c r="L290" s="330"/>
      <c r="M290" s="330"/>
      <c r="N290" s="330"/>
      <c r="O290" s="330"/>
      <c r="P290" s="330"/>
      <c r="Q290" s="330"/>
      <c r="R290" s="330"/>
      <c r="S290" s="330"/>
      <c r="T290" s="207"/>
      <c r="U290" s="330"/>
      <c r="V290" s="330"/>
      <c r="W290" s="329"/>
      <c r="X290" s="329"/>
      <c r="Y290" s="329"/>
      <c r="Z290" s="329"/>
      <c r="AA290" s="329"/>
      <c r="AB290" s="329"/>
      <c r="AC290" s="329"/>
      <c r="AD290" s="329"/>
      <c r="AE290" s="329"/>
    </row>
    <row r="291" ht="15.75" customHeight="1">
      <c r="A291" s="330"/>
      <c r="B291" s="330"/>
      <c r="C291" s="330"/>
      <c r="D291" s="330"/>
      <c r="E291" s="330"/>
      <c r="F291" s="330"/>
      <c r="G291" s="330"/>
      <c r="H291" s="330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0"/>
      <c r="T291" s="207"/>
      <c r="U291" s="330"/>
      <c r="V291" s="330"/>
      <c r="W291" s="329"/>
      <c r="X291" s="329"/>
      <c r="Y291" s="329"/>
      <c r="Z291" s="329"/>
      <c r="AA291" s="329"/>
      <c r="AB291" s="329"/>
      <c r="AC291" s="329"/>
      <c r="AD291" s="329"/>
      <c r="AE291" s="329"/>
    </row>
    <row r="292" ht="15.75" customHeight="1">
      <c r="A292" s="330"/>
      <c r="B292" s="330"/>
      <c r="C292" s="330"/>
      <c r="D292" s="330"/>
      <c r="E292" s="330"/>
      <c r="F292" s="330"/>
      <c r="G292" s="330"/>
      <c r="H292" s="330"/>
      <c r="I292" s="330"/>
      <c r="J292" s="330"/>
      <c r="K292" s="330"/>
      <c r="L292" s="330"/>
      <c r="M292" s="330"/>
      <c r="N292" s="330"/>
      <c r="O292" s="330"/>
      <c r="P292" s="330"/>
      <c r="Q292" s="330"/>
      <c r="R292" s="330"/>
      <c r="S292" s="330"/>
      <c r="T292" s="207"/>
      <c r="U292" s="330"/>
      <c r="V292" s="330"/>
      <c r="W292" s="329"/>
      <c r="X292" s="329"/>
      <c r="Y292" s="329"/>
      <c r="Z292" s="329"/>
      <c r="AA292" s="329"/>
      <c r="AB292" s="329"/>
      <c r="AC292" s="329"/>
      <c r="AD292" s="329"/>
      <c r="AE292" s="329"/>
    </row>
    <row r="293" ht="15.75" customHeight="1">
      <c r="A293" s="330"/>
      <c r="B293" s="330"/>
      <c r="C293" s="330"/>
      <c r="D293" s="330"/>
      <c r="E293" s="330"/>
      <c r="F293" s="330"/>
      <c r="G293" s="330"/>
      <c r="H293" s="330"/>
      <c r="I293" s="330"/>
      <c r="J293" s="330"/>
      <c r="K293" s="330"/>
      <c r="L293" s="330"/>
      <c r="M293" s="330"/>
      <c r="N293" s="330"/>
      <c r="O293" s="330"/>
      <c r="P293" s="330"/>
      <c r="Q293" s="330"/>
      <c r="R293" s="330"/>
      <c r="S293" s="330"/>
      <c r="T293" s="207"/>
      <c r="U293" s="330"/>
      <c r="V293" s="330"/>
      <c r="W293" s="329"/>
      <c r="X293" s="329"/>
      <c r="Y293" s="329"/>
      <c r="Z293" s="329"/>
      <c r="AA293" s="329"/>
      <c r="AB293" s="329"/>
      <c r="AC293" s="329"/>
      <c r="AD293" s="329"/>
      <c r="AE293" s="329"/>
    </row>
    <row r="294" ht="15.75" customHeight="1">
      <c r="A294" s="330"/>
      <c r="B294" s="330"/>
      <c r="C294" s="330"/>
      <c r="D294" s="330"/>
      <c r="E294" s="330"/>
      <c r="F294" s="330"/>
      <c r="G294" s="330"/>
      <c r="H294" s="330"/>
      <c r="I294" s="330"/>
      <c r="J294" s="330"/>
      <c r="K294" s="330"/>
      <c r="L294" s="330"/>
      <c r="M294" s="330"/>
      <c r="N294" s="330"/>
      <c r="O294" s="330"/>
      <c r="P294" s="330"/>
      <c r="Q294" s="330"/>
      <c r="R294" s="330"/>
      <c r="S294" s="330"/>
      <c r="T294" s="207"/>
      <c r="U294" s="330"/>
      <c r="V294" s="330"/>
      <c r="W294" s="329"/>
      <c r="X294" s="329"/>
      <c r="Y294" s="329"/>
      <c r="Z294" s="329"/>
      <c r="AA294" s="329"/>
      <c r="AB294" s="329"/>
      <c r="AC294" s="329"/>
      <c r="AD294" s="329"/>
      <c r="AE294" s="329"/>
    </row>
    <row r="295" ht="15.75" customHeight="1">
      <c r="A295" s="230"/>
      <c r="B295" s="230"/>
      <c r="C295" s="230"/>
      <c r="D295" s="230"/>
      <c r="E295" s="230"/>
      <c r="F295" s="230"/>
      <c r="G295" s="230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</row>
    <row r="296" ht="15.75" customHeight="1">
      <c r="A296" s="230"/>
      <c r="B296" s="230"/>
      <c r="C296" s="230"/>
      <c r="D296" s="230"/>
      <c r="E296" s="230"/>
      <c r="F296" s="230"/>
      <c r="G296" s="230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</row>
    <row r="297" ht="15.75" customHeight="1">
      <c r="A297" s="230"/>
      <c r="B297" s="230"/>
      <c r="C297" s="230"/>
      <c r="D297" s="230"/>
      <c r="E297" s="230"/>
      <c r="F297" s="230"/>
      <c r="G297" s="230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</row>
    <row r="298" ht="15.75" customHeight="1">
      <c r="A298" s="230"/>
      <c r="B298" s="230"/>
      <c r="C298" s="230"/>
      <c r="D298" s="230"/>
      <c r="E298" s="230"/>
      <c r="F298" s="230"/>
      <c r="G298" s="230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</row>
    <row r="299" ht="15.75" customHeight="1">
      <c r="A299" s="230"/>
      <c r="B299" s="230"/>
      <c r="C299" s="230"/>
      <c r="D299" s="230"/>
      <c r="E299" s="230"/>
      <c r="F299" s="230"/>
      <c r="G299" s="230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</row>
    <row r="300" ht="15.75" customHeight="1">
      <c r="A300" s="230"/>
      <c r="B300" s="230"/>
      <c r="C300" s="230"/>
      <c r="D300" s="230"/>
      <c r="E300" s="230"/>
      <c r="F300" s="230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</row>
    <row r="301" ht="15.75" customHeight="1">
      <c r="A301" s="230"/>
      <c r="B301" s="230"/>
      <c r="C301" s="230"/>
      <c r="D301" s="230"/>
      <c r="E301" s="230"/>
      <c r="F301" s="230"/>
      <c r="G301" s="230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</row>
    <row r="302" ht="15.75" customHeight="1">
      <c r="A302" s="230"/>
      <c r="B302" s="230"/>
      <c r="C302" s="230"/>
      <c r="D302" s="230"/>
      <c r="E302" s="230"/>
      <c r="F302" s="230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</row>
    <row r="303" ht="15.75" customHeight="1">
      <c r="A303" s="230"/>
      <c r="B303" s="230"/>
      <c r="C303" s="230"/>
      <c r="D303" s="230"/>
      <c r="E303" s="230"/>
      <c r="F303" s="230"/>
      <c r="G303" s="230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</row>
    <row r="304" ht="15.75" customHeight="1">
      <c r="A304" s="230"/>
      <c r="B304" s="230"/>
      <c r="C304" s="230"/>
      <c r="D304" s="230"/>
      <c r="E304" s="230"/>
      <c r="F304" s="230"/>
      <c r="G304" s="23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</row>
    <row r="305" ht="15.75" customHeight="1">
      <c r="A305" s="230"/>
      <c r="B305" s="230"/>
      <c r="C305" s="230"/>
      <c r="D305" s="230"/>
      <c r="E305" s="230"/>
      <c r="F305" s="230"/>
      <c r="G305" s="230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</row>
    <row r="306" ht="15.75" customHeight="1">
      <c r="A306" s="230"/>
      <c r="B306" s="230"/>
      <c r="C306" s="230"/>
      <c r="D306" s="230"/>
      <c r="E306" s="230"/>
      <c r="F306" s="230"/>
      <c r="G306" s="23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</row>
    <row r="307" ht="15.75" customHeight="1">
      <c r="A307" s="230"/>
      <c r="B307" s="230"/>
      <c r="C307" s="230"/>
      <c r="D307" s="230"/>
      <c r="E307" s="230"/>
      <c r="F307" s="230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</row>
    <row r="308" ht="15.75" customHeight="1">
      <c r="A308" s="230"/>
      <c r="B308" s="230"/>
      <c r="C308" s="230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</row>
    <row r="309" ht="15.75" customHeight="1">
      <c r="A309" s="230"/>
      <c r="B309" s="230"/>
      <c r="C309" s="230"/>
      <c r="D309" s="230"/>
      <c r="E309" s="230"/>
      <c r="F309" s="230"/>
      <c r="G309" s="23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</row>
    <row r="310" ht="15.75" customHeight="1">
      <c r="A310" s="230"/>
      <c r="B310" s="230"/>
      <c r="C310" s="230"/>
      <c r="D310" s="230"/>
      <c r="E310" s="230"/>
      <c r="F310" s="230"/>
      <c r="G310" s="230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</row>
    <row r="311" ht="15.75" customHeight="1">
      <c r="A311" s="230"/>
      <c r="B311" s="230"/>
      <c r="C311" s="230"/>
      <c r="D311" s="230"/>
      <c r="E311" s="230"/>
      <c r="F311" s="230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</row>
    <row r="312" ht="15.75" customHeight="1">
      <c r="A312" s="230"/>
      <c r="B312" s="230"/>
      <c r="C312" s="230"/>
      <c r="D312" s="230"/>
      <c r="E312" s="230"/>
      <c r="F312" s="230"/>
      <c r="G312" s="23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</row>
    <row r="313" ht="15.75" customHeight="1">
      <c r="A313" s="230"/>
      <c r="B313" s="230"/>
      <c r="C313" s="230"/>
      <c r="D313" s="230"/>
      <c r="E313" s="230"/>
      <c r="F313" s="230"/>
      <c r="G313" s="230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</row>
    <row r="314" ht="15.75" customHeight="1">
      <c r="A314" s="230"/>
      <c r="B314" s="230"/>
      <c r="C314" s="230"/>
      <c r="D314" s="230"/>
      <c r="E314" s="230"/>
      <c r="F314" s="230"/>
      <c r="G314" s="230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</row>
    <row r="315" ht="15.75" customHeight="1">
      <c r="A315" s="230"/>
      <c r="B315" s="230"/>
      <c r="C315" s="230"/>
      <c r="D315" s="230"/>
      <c r="E315" s="230"/>
      <c r="F315" s="230"/>
      <c r="G315" s="230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</row>
    <row r="316" ht="15.75" customHeight="1">
      <c r="A316" s="230"/>
      <c r="B316" s="230"/>
      <c r="C316" s="230"/>
      <c r="D316" s="230"/>
      <c r="E316" s="230"/>
      <c r="F316" s="230"/>
      <c r="G316" s="230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</row>
    <row r="317" ht="15.75" customHeight="1">
      <c r="A317" s="230"/>
      <c r="B317" s="230"/>
      <c r="C317" s="230"/>
      <c r="D317" s="230"/>
      <c r="E317" s="230"/>
      <c r="F317" s="230"/>
      <c r="G317" s="230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</row>
    <row r="318" ht="15.75" customHeight="1">
      <c r="A318" s="230"/>
      <c r="B318" s="230"/>
      <c r="C318" s="230"/>
      <c r="D318" s="230"/>
      <c r="E318" s="230"/>
      <c r="F318" s="230"/>
      <c r="G318" s="23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</row>
    <row r="319" ht="15.75" customHeight="1">
      <c r="A319" s="230"/>
      <c r="B319" s="230"/>
      <c r="C319" s="230"/>
      <c r="D319" s="230"/>
      <c r="E319" s="230"/>
      <c r="F319" s="230"/>
      <c r="G319" s="230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</row>
    <row r="320" ht="15.75" customHeight="1">
      <c r="A320" s="230"/>
      <c r="B320" s="230"/>
      <c r="C320" s="230"/>
      <c r="D320" s="230"/>
      <c r="E320" s="230"/>
      <c r="F320" s="230"/>
      <c r="G320" s="230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</row>
    <row r="321" ht="15.75" customHeight="1">
      <c r="A321" s="230"/>
      <c r="B321" s="230"/>
      <c r="C321" s="230"/>
      <c r="D321" s="230"/>
      <c r="E321" s="230"/>
      <c r="F321" s="230"/>
      <c r="G321" s="230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</row>
    <row r="322" ht="15.75" customHeight="1">
      <c r="A322" s="230"/>
      <c r="B322" s="230"/>
      <c r="C322" s="230"/>
      <c r="D322" s="230"/>
      <c r="E322" s="230"/>
      <c r="F322" s="230"/>
      <c r="G322" s="23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</row>
    <row r="323" ht="15.75" customHeight="1">
      <c r="A323" s="230"/>
      <c r="B323" s="230"/>
      <c r="C323" s="230"/>
      <c r="D323" s="230"/>
      <c r="E323" s="230"/>
      <c r="F323" s="230"/>
      <c r="G323" s="230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</row>
    <row r="324" ht="15.75" customHeight="1">
      <c r="A324" s="230"/>
      <c r="B324" s="230"/>
      <c r="C324" s="230"/>
      <c r="D324" s="230"/>
      <c r="E324" s="230"/>
      <c r="F324" s="230"/>
      <c r="G324" s="23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</row>
    <row r="325" ht="15.75" customHeight="1">
      <c r="A325" s="230"/>
      <c r="B325" s="230"/>
      <c r="C325" s="230"/>
      <c r="D325" s="230"/>
      <c r="E325" s="230"/>
      <c r="F325" s="230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</row>
    <row r="326" ht="15.75" customHeight="1">
      <c r="A326" s="230"/>
      <c r="B326" s="230"/>
      <c r="C326" s="230"/>
      <c r="D326" s="230"/>
      <c r="E326" s="230"/>
      <c r="F326" s="230"/>
      <c r="G326" s="23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</row>
    <row r="327" ht="15.75" customHeight="1">
      <c r="A327" s="230"/>
      <c r="B327" s="230"/>
      <c r="C327" s="230"/>
      <c r="D327" s="230"/>
      <c r="E327" s="230"/>
      <c r="F327" s="230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</row>
    <row r="328" ht="15.75" customHeight="1">
      <c r="A328" s="230"/>
      <c r="B328" s="230"/>
      <c r="C328" s="230"/>
      <c r="D328" s="230"/>
      <c r="E328" s="230"/>
      <c r="F328" s="230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</row>
    <row r="329" ht="15.75" customHeight="1">
      <c r="A329" s="230"/>
      <c r="B329" s="230"/>
      <c r="C329" s="230"/>
      <c r="D329" s="230"/>
      <c r="E329" s="230"/>
      <c r="F329" s="230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</row>
    <row r="330" ht="15.75" customHeight="1">
      <c r="A330" s="230"/>
      <c r="B330" s="230"/>
      <c r="C330" s="230"/>
      <c r="D330" s="230"/>
      <c r="E330" s="230"/>
      <c r="F330" s="230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</row>
    <row r="331" ht="15.75" customHeight="1">
      <c r="A331" s="230"/>
      <c r="B331" s="230"/>
      <c r="C331" s="230"/>
      <c r="D331" s="230"/>
      <c r="E331" s="230"/>
      <c r="F331" s="230"/>
      <c r="G331" s="23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</row>
    <row r="332" ht="15.75" customHeight="1">
      <c r="A332" s="230"/>
      <c r="B332" s="230"/>
      <c r="C332" s="230"/>
      <c r="D332" s="230"/>
      <c r="E332" s="230"/>
      <c r="F332" s="230"/>
      <c r="G332" s="23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</row>
    <row r="333" ht="15.75" customHeight="1">
      <c r="A333" s="230"/>
      <c r="B333" s="230"/>
      <c r="C333" s="230"/>
      <c r="D333" s="230"/>
      <c r="E333" s="230"/>
      <c r="F333" s="230"/>
      <c r="G333" s="23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</row>
    <row r="334" ht="15.75" customHeight="1">
      <c r="A334" s="230"/>
      <c r="B334" s="230"/>
      <c r="C334" s="230"/>
      <c r="D334" s="230"/>
      <c r="E334" s="230"/>
      <c r="F334" s="230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</row>
    <row r="335" ht="15.75" customHeight="1">
      <c r="A335" s="230"/>
      <c r="B335" s="230"/>
      <c r="C335" s="230"/>
      <c r="D335" s="230"/>
      <c r="E335" s="230"/>
      <c r="F335" s="230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</row>
    <row r="336" ht="15.75" customHeight="1">
      <c r="A336" s="230"/>
      <c r="B336" s="230"/>
      <c r="C336" s="230"/>
      <c r="D336" s="230"/>
      <c r="E336" s="230"/>
      <c r="F336" s="230"/>
      <c r="G336" s="23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</row>
    <row r="337" ht="15.75" customHeight="1">
      <c r="A337" s="230"/>
      <c r="B337" s="230"/>
      <c r="C337" s="230"/>
      <c r="D337" s="230"/>
      <c r="E337" s="230"/>
      <c r="F337" s="230"/>
      <c r="G337" s="23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</row>
    <row r="338" ht="15.75" customHeight="1">
      <c r="A338" s="230"/>
      <c r="B338" s="230"/>
      <c r="C338" s="230"/>
      <c r="D338" s="230"/>
      <c r="E338" s="230"/>
      <c r="F338" s="230"/>
      <c r="G338" s="23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</row>
    <row r="339" ht="15.75" customHeight="1">
      <c r="A339" s="230"/>
      <c r="B339" s="230"/>
      <c r="C339" s="230"/>
      <c r="D339" s="230"/>
      <c r="E339" s="230"/>
      <c r="F339" s="230"/>
      <c r="G339" s="23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</row>
    <row r="340" ht="15.75" customHeight="1">
      <c r="A340" s="230"/>
      <c r="B340" s="230"/>
      <c r="C340" s="230"/>
      <c r="D340" s="230"/>
      <c r="E340" s="230"/>
      <c r="F340" s="230"/>
      <c r="G340" s="230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</row>
    <row r="341" ht="15.75" customHeight="1">
      <c r="A341" s="230"/>
      <c r="B341" s="230"/>
      <c r="C341" s="230"/>
      <c r="D341" s="230"/>
      <c r="E341" s="230"/>
      <c r="F341" s="230"/>
      <c r="G341" s="23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</row>
    <row r="342" ht="15.75" customHeight="1">
      <c r="A342" s="230"/>
      <c r="B342" s="230"/>
      <c r="C342" s="230"/>
      <c r="D342" s="230"/>
      <c r="E342" s="230"/>
      <c r="F342" s="230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</row>
    <row r="343" ht="15.75" customHeight="1">
      <c r="A343" s="230"/>
      <c r="B343" s="230"/>
      <c r="C343" s="230"/>
      <c r="D343" s="230"/>
      <c r="E343" s="230"/>
      <c r="F343" s="230"/>
      <c r="G343" s="23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</row>
    <row r="344" ht="15.75" customHeight="1">
      <c r="A344" s="230"/>
      <c r="B344" s="230"/>
      <c r="C344" s="230"/>
      <c r="D344" s="230"/>
      <c r="E344" s="230"/>
      <c r="F344" s="230"/>
      <c r="G344" s="23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</row>
    <row r="345" ht="15.75" customHeight="1">
      <c r="A345" s="230"/>
      <c r="B345" s="230"/>
      <c r="C345" s="230"/>
      <c r="D345" s="230"/>
      <c r="E345" s="230"/>
      <c r="F345" s="230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</row>
    <row r="346" ht="15.75" customHeight="1">
      <c r="A346" s="230"/>
      <c r="B346" s="230"/>
      <c r="C346" s="230"/>
      <c r="D346" s="230"/>
      <c r="E346" s="230"/>
      <c r="F346" s="230"/>
      <c r="G346" s="23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</row>
    <row r="347" ht="15.75" customHeight="1">
      <c r="A347" s="230"/>
      <c r="B347" s="230"/>
      <c r="C347" s="230"/>
      <c r="D347" s="230"/>
      <c r="E347" s="230"/>
      <c r="F347" s="230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</row>
    <row r="348" ht="15.75" customHeight="1">
      <c r="A348" s="230"/>
      <c r="B348" s="230"/>
      <c r="C348" s="230"/>
      <c r="D348" s="230"/>
      <c r="E348" s="230"/>
      <c r="F348" s="230"/>
      <c r="G348" s="23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</row>
    <row r="349" ht="15.75" customHeight="1">
      <c r="A349" s="230"/>
      <c r="B349" s="230"/>
      <c r="C349" s="230"/>
      <c r="D349" s="230"/>
      <c r="E349" s="230"/>
      <c r="F349" s="230"/>
      <c r="G349" s="230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</row>
    <row r="350" ht="15.75" customHeight="1">
      <c r="A350" s="230"/>
      <c r="B350" s="230"/>
      <c r="C350" s="230"/>
      <c r="D350" s="230"/>
      <c r="E350" s="230"/>
      <c r="F350" s="230"/>
      <c r="G350" s="230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</row>
    <row r="351" ht="15.75" customHeight="1">
      <c r="A351" s="230"/>
      <c r="B351" s="230"/>
      <c r="C351" s="230"/>
      <c r="D351" s="230"/>
      <c r="E351" s="230"/>
      <c r="F351" s="230"/>
      <c r="G351" s="23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</row>
    <row r="352" ht="15.75" customHeight="1">
      <c r="A352" s="230"/>
      <c r="B352" s="230"/>
      <c r="C352" s="230"/>
      <c r="D352" s="230"/>
      <c r="E352" s="230"/>
      <c r="F352" s="230"/>
      <c r="G352" s="230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</row>
    <row r="353" ht="15.75" customHeight="1">
      <c r="A353" s="230"/>
      <c r="B353" s="230"/>
      <c r="C353" s="230"/>
      <c r="D353" s="230"/>
      <c r="E353" s="230"/>
      <c r="F353" s="230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</row>
    <row r="354" ht="15.75" customHeight="1">
      <c r="A354" s="230"/>
      <c r="B354" s="230"/>
      <c r="C354" s="230"/>
      <c r="D354" s="230"/>
      <c r="E354" s="230"/>
      <c r="F354" s="230"/>
      <c r="G354" s="23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</row>
    <row r="355" ht="15.75" customHeight="1">
      <c r="A355" s="230"/>
      <c r="B355" s="230"/>
      <c r="C355" s="230"/>
      <c r="D355" s="230"/>
      <c r="E355" s="230"/>
      <c r="F355" s="230"/>
      <c r="G355" s="230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</row>
    <row r="356" ht="15.75" customHeight="1">
      <c r="A356" s="230"/>
      <c r="B356" s="230"/>
      <c r="C356" s="230"/>
      <c r="D356" s="230"/>
      <c r="E356" s="230"/>
      <c r="F356" s="230"/>
      <c r="G356" s="23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</row>
    <row r="357" ht="15.75" customHeight="1">
      <c r="A357" s="230"/>
      <c r="B357" s="230"/>
      <c r="C357" s="230"/>
      <c r="D357" s="230"/>
      <c r="E357" s="230"/>
      <c r="F357" s="230"/>
      <c r="G357" s="230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</row>
    <row r="358" ht="15.75" customHeight="1">
      <c r="A358" s="230"/>
      <c r="B358" s="230"/>
      <c r="C358" s="230"/>
      <c r="D358" s="230"/>
      <c r="E358" s="230"/>
      <c r="F358" s="230"/>
      <c r="G358" s="230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</row>
    <row r="359" ht="15.75" customHeight="1">
      <c r="A359" s="230"/>
      <c r="B359" s="230"/>
      <c r="C359" s="230"/>
      <c r="D359" s="230"/>
      <c r="E359" s="230"/>
      <c r="F359" s="230"/>
      <c r="G359" s="230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</row>
    <row r="360" ht="15.75" customHeight="1">
      <c r="A360" s="230"/>
      <c r="B360" s="230"/>
      <c r="C360" s="230"/>
      <c r="D360" s="230"/>
      <c r="E360" s="230"/>
      <c r="F360" s="230"/>
      <c r="G360" s="230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</row>
    <row r="361" ht="15.75" customHeight="1">
      <c r="A361" s="230"/>
      <c r="B361" s="230"/>
      <c r="C361" s="230"/>
      <c r="D361" s="230"/>
      <c r="E361" s="230"/>
      <c r="F361" s="230"/>
      <c r="G361" s="230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</row>
    <row r="362" ht="15.75" customHeight="1">
      <c r="A362" s="230"/>
      <c r="B362" s="230"/>
      <c r="C362" s="230"/>
      <c r="D362" s="230"/>
      <c r="E362" s="230"/>
      <c r="F362" s="230"/>
      <c r="G362" s="230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</row>
    <row r="363" ht="15.75" customHeight="1">
      <c r="A363" s="230"/>
      <c r="B363" s="230"/>
      <c r="C363" s="230"/>
      <c r="D363" s="230"/>
      <c r="E363" s="230"/>
      <c r="F363" s="230"/>
      <c r="G363" s="230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</row>
    <row r="364" ht="15.75" customHeight="1">
      <c r="A364" s="230"/>
      <c r="B364" s="230"/>
      <c r="C364" s="230"/>
      <c r="D364" s="230"/>
      <c r="E364" s="230"/>
      <c r="F364" s="230"/>
      <c r="G364" s="230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</row>
    <row r="365" ht="15.75" customHeight="1">
      <c r="A365" s="230"/>
      <c r="B365" s="230"/>
      <c r="C365" s="230"/>
      <c r="D365" s="230"/>
      <c r="E365" s="230"/>
      <c r="F365" s="230"/>
      <c r="G365" s="230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</row>
    <row r="366" ht="15.75" customHeight="1">
      <c r="A366" s="230"/>
      <c r="B366" s="230"/>
      <c r="C366" s="230"/>
      <c r="D366" s="230"/>
      <c r="E366" s="230"/>
      <c r="F366" s="230"/>
      <c r="G366" s="230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</row>
    <row r="367" ht="15.75" customHeight="1">
      <c r="A367" s="230"/>
      <c r="B367" s="230"/>
      <c r="C367" s="230"/>
      <c r="D367" s="230"/>
      <c r="E367" s="230"/>
      <c r="F367" s="230"/>
      <c r="G367" s="230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</row>
    <row r="368" ht="15.75" customHeight="1">
      <c r="A368" s="230"/>
      <c r="B368" s="230"/>
      <c r="C368" s="230"/>
      <c r="D368" s="230"/>
      <c r="E368" s="230"/>
      <c r="F368" s="230"/>
      <c r="G368" s="230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</row>
    <row r="369" ht="15.75" customHeight="1">
      <c r="A369" s="230"/>
      <c r="B369" s="230"/>
      <c r="C369" s="230"/>
      <c r="D369" s="230"/>
      <c r="E369" s="230"/>
      <c r="F369" s="230"/>
      <c r="G369" s="230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</row>
    <row r="370" ht="15.75" customHeight="1">
      <c r="A370" s="230"/>
      <c r="B370" s="230"/>
      <c r="C370" s="230"/>
      <c r="D370" s="230"/>
      <c r="E370" s="230"/>
      <c r="F370" s="230"/>
      <c r="G370" s="230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</row>
    <row r="371" ht="15.75" customHeight="1">
      <c r="A371" s="230"/>
      <c r="B371" s="230"/>
      <c r="C371" s="230"/>
      <c r="D371" s="230"/>
      <c r="E371" s="230"/>
      <c r="F371" s="230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</row>
    <row r="372" ht="15.75" customHeight="1">
      <c r="A372" s="230"/>
      <c r="B372" s="230"/>
      <c r="C372" s="230"/>
      <c r="D372" s="230"/>
      <c r="E372" s="230"/>
      <c r="F372" s="230"/>
      <c r="G372" s="23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</row>
    <row r="373" ht="15.75" customHeight="1">
      <c r="A373" s="230"/>
      <c r="B373" s="230"/>
      <c r="C373" s="230"/>
      <c r="D373" s="230"/>
      <c r="E373" s="230"/>
      <c r="F373" s="230"/>
      <c r="G373" s="230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</row>
    <row r="374" ht="15.75" customHeight="1">
      <c r="A374" s="230"/>
      <c r="B374" s="230"/>
      <c r="C374" s="230"/>
      <c r="D374" s="230"/>
      <c r="E374" s="230"/>
      <c r="F374" s="230"/>
      <c r="G374" s="230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</row>
    <row r="375" ht="15.75" customHeight="1">
      <c r="A375" s="230"/>
      <c r="B375" s="230"/>
      <c r="C375" s="230"/>
      <c r="D375" s="230"/>
      <c r="E375" s="230"/>
      <c r="F375" s="230"/>
      <c r="G375" s="23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</row>
    <row r="376" ht="15.75" customHeight="1">
      <c r="A376" s="230"/>
      <c r="B376" s="230"/>
      <c r="C376" s="230"/>
      <c r="D376" s="230"/>
      <c r="E376" s="230"/>
      <c r="F376" s="230"/>
      <c r="G376" s="230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</row>
    <row r="377" ht="15.75" customHeight="1">
      <c r="A377" s="230"/>
      <c r="B377" s="230"/>
      <c r="C377" s="230"/>
      <c r="D377" s="230"/>
      <c r="E377" s="230"/>
      <c r="F377" s="230"/>
      <c r="G377" s="230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</row>
    <row r="378" ht="15.75" customHeight="1">
      <c r="A378" s="230"/>
      <c r="B378" s="230"/>
      <c r="C378" s="230"/>
      <c r="D378" s="230"/>
      <c r="E378" s="230"/>
      <c r="F378" s="230"/>
      <c r="G378" s="230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</row>
    <row r="379" ht="15.75" customHeight="1">
      <c r="A379" s="230"/>
      <c r="B379" s="230"/>
      <c r="C379" s="230"/>
      <c r="D379" s="230"/>
      <c r="E379" s="230"/>
      <c r="F379" s="230"/>
      <c r="G379" s="23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</row>
    <row r="380" ht="15.75" customHeight="1">
      <c r="A380" s="230"/>
      <c r="B380" s="230"/>
      <c r="C380" s="230"/>
      <c r="D380" s="230"/>
      <c r="E380" s="230"/>
      <c r="F380" s="230"/>
      <c r="G380" s="23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</row>
    <row r="381" ht="15.75" customHeight="1">
      <c r="A381" s="230"/>
      <c r="B381" s="230"/>
      <c r="C381" s="230"/>
      <c r="D381" s="230"/>
      <c r="E381" s="230"/>
      <c r="F381" s="230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</row>
    <row r="382" ht="15.75" customHeight="1">
      <c r="A382" s="230"/>
      <c r="B382" s="230"/>
      <c r="C382" s="230"/>
      <c r="D382" s="230"/>
      <c r="E382" s="230"/>
      <c r="F382" s="230"/>
      <c r="G382" s="230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</row>
    <row r="383" ht="15.75" customHeight="1">
      <c r="A383" s="230"/>
      <c r="B383" s="230"/>
      <c r="C383" s="230"/>
      <c r="D383" s="230"/>
      <c r="E383" s="230"/>
      <c r="F383" s="230"/>
      <c r="G383" s="23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</row>
    <row r="384" ht="15.75" customHeight="1">
      <c r="A384" s="230"/>
      <c r="B384" s="230"/>
      <c r="C384" s="230"/>
      <c r="D384" s="230"/>
      <c r="E384" s="230"/>
      <c r="F384" s="230"/>
      <c r="G384" s="230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</row>
    <row r="385" ht="15.75" customHeight="1">
      <c r="A385" s="230"/>
      <c r="B385" s="230"/>
      <c r="C385" s="230"/>
      <c r="D385" s="230"/>
      <c r="E385" s="230"/>
      <c r="F385" s="230"/>
      <c r="G385" s="230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</row>
    <row r="386" ht="15.75" customHeight="1">
      <c r="A386" s="230"/>
      <c r="B386" s="230"/>
      <c r="C386" s="230"/>
      <c r="D386" s="230"/>
      <c r="E386" s="230"/>
      <c r="F386" s="230"/>
      <c r="G386" s="230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</row>
    <row r="387" ht="15.75" customHeight="1">
      <c r="A387" s="230"/>
      <c r="B387" s="230"/>
      <c r="C387" s="230"/>
      <c r="D387" s="230"/>
      <c r="E387" s="230"/>
      <c r="F387" s="230"/>
      <c r="G387" s="230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</row>
    <row r="388" ht="15.75" customHeight="1">
      <c r="A388" s="230"/>
      <c r="B388" s="230"/>
      <c r="C388" s="230"/>
      <c r="D388" s="230"/>
      <c r="E388" s="230"/>
      <c r="F388" s="230"/>
      <c r="G388" s="23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</row>
    <row r="389" ht="15.75" customHeight="1">
      <c r="A389" s="230"/>
      <c r="B389" s="230"/>
      <c r="C389" s="230"/>
      <c r="D389" s="230"/>
      <c r="E389" s="230"/>
      <c r="F389" s="230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</row>
    <row r="390" ht="15.75" customHeight="1">
      <c r="A390" s="230"/>
      <c r="B390" s="230"/>
      <c r="C390" s="230"/>
      <c r="D390" s="230"/>
      <c r="E390" s="230"/>
      <c r="F390" s="230"/>
      <c r="G390" s="23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</row>
    <row r="391" ht="15.75" customHeight="1">
      <c r="A391" s="230"/>
      <c r="B391" s="230"/>
      <c r="C391" s="230"/>
      <c r="D391" s="230"/>
      <c r="E391" s="230"/>
      <c r="F391" s="230"/>
      <c r="G391" s="23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</row>
    <row r="392" ht="15.75" customHeight="1">
      <c r="A392" s="230"/>
      <c r="B392" s="230"/>
      <c r="C392" s="230"/>
      <c r="D392" s="230"/>
      <c r="E392" s="230"/>
      <c r="F392" s="230"/>
      <c r="G392" s="23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</row>
    <row r="393" ht="15.75" customHeight="1">
      <c r="A393" s="230"/>
      <c r="B393" s="230"/>
      <c r="C393" s="230"/>
      <c r="D393" s="230"/>
      <c r="E393" s="230"/>
      <c r="F393" s="230"/>
      <c r="G393" s="23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</row>
    <row r="394" ht="15.75" customHeight="1">
      <c r="A394" s="230"/>
      <c r="B394" s="230"/>
      <c r="C394" s="230"/>
      <c r="D394" s="230"/>
      <c r="E394" s="230"/>
      <c r="F394" s="230"/>
      <c r="G394" s="23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</row>
    <row r="395" ht="15.75" customHeight="1">
      <c r="A395" s="230"/>
      <c r="B395" s="230"/>
      <c r="C395" s="230"/>
      <c r="D395" s="230"/>
      <c r="E395" s="230"/>
      <c r="F395" s="230"/>
      <c r="G395" s="23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</row>
    <row r="396" ht="15.75" customHeight="1">
      <c r="A396" s="230"/>
      <c r="B396" s="230"/>
      <c r="C396" s="230"/>
      <c r="D396" s="230"/>
      <c r="E396" s="230"/>
      <c r="F396" s="230"/>
      <c r="G396" s="23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</row>
    <row r="397" ht="15.75" customHeight="1">
      <c r="A397" s="230"/>
      <c r="B397" s="230"/>
      <c r="C397" s="230"/>
      <c r="D397" s="230"/>
      <c r="E397" s="230"/>
      <c r="F397" s="230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</row>
    <row r="398" ht="15.75" customHeight="1">
      <c r="A398" s="230"/>
      <c r="B398" s="230"/>
      <c r="C398" s="230"/>
      <c r="D398" s="230"/>
      <c r="E398" s="230"/>
      <c r="F398" s="230"/>
      <c r="G398" s="23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</row>
    <row r="399" ht="15.75" customHeight="1">
      <c r="A399" s="230"/>
      <c r="B399" s="230"/>
      <c r="C399" s="230"/>
      <c r="D399" s="230"/>
      <c r="E399" s="230"/>
      <c r="F399" s="230"/>
      <c r="G399" s="23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</row>
    <row r="400" ht="15.75" customHeight="1">
      <c r="A400" s="230"/>
      <c r="B400" s="230"/>
      <c r="C400" s="230"/>
      <c r="D400" s="230"/>
      <c r="E400" s="230"/>
      <c r="F400" s="230"/>
      <c r="G400" s="230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</row>
    <row r="401" ht="15.75" customHeight="1">
      <c r="A401" s="230"/>
      <c r="B401" s="230"/>
      <c r="C401" s="230"/>
      <c r="D401" s="230"/>
      <c r="E401" s="230"/>
      <c r="F401" s="230"/>
      <c r="G401" s="23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</row>
    <row r="402" ht="15.75" customHeight="1">
      <c r="A402" s="230"/>
      <c r="B402" s="230"/>
      <c r="C402" s="230"/>
      <c r="D402" s="230"/>
      <c r="E402" s="230"/>
      <c r="F402" s="230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</row>
    <row r="403" ht="15.75" customHeight="1">
      <c r="A403" s="230"/>
      <c r="B403" s="230"/>
      <c r="C403" s="230"/>
      <c r="D403" s="230"/>
      <c r="E403" s="230"/>
      <c r="F403" s="230"/>
      <c r="G403" s="23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</row>
    <row r="404" ht="15.75" customHeight="1">
      <c r="A404" s="230"/>
      <c r="B404" s="230"/>
      <c r="C404" s="230"/>
      <c r="D404" s="230"/>
      <c r="E404" s="230"/>
      <c r="F404" s="230"/>
      <c r="G404" s="23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</row>
    <row r="405" ht="15.75" customHeight="1">
      <c r="A405" s="230"/>
      <c r="B405" s="230"/>
      <c r="C405" s="230"/>
      <c r="D405" s="230"/>
      <c r="E405" s="230"/>
      <c r="F405" s="230"/>
      <c r="G405" s="23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</row>
    <row r="406" ht="15.75" customHeight="1">
      <c r="A406" s="230"/>
      <c r="B406" s="230"/>
      <c r="C406" s="230"/>
      <c r="D406" s="230"/>
      <c r="E406" s="230"/>
      <c r="F406" s="230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</row>
    <row r="407" ht="15.75" customHeight="1">
      <c r="A407" s="230"/>
      <c r="B407" s="230"/>
      <c r="C407" s="230"/>
      <c r="D407" s="230"/>
      <c r="E407" s="230"/>
      <c r="F407" s="230"/>
      <c r="G407" s="23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</row>
    <row r="408" ht="15.75" customHeight="1">
      <c r="A408" s="230"/>
      <c r="B408" s="230"/>
      <c r="C408" s="230"/>
      <c r="D408" s="230"/>
      <c r="E408" s="230"/>
      <c r="F408" s="230"/>
      <c r="G408" s="23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</row>
    <row r="409" ht="15.75" customHeight="1">
      <c r="A409" s="230"/>
      <c r="B409" s="230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</row>
    <row r="410" ht="15.75" customHeight="1">
      <c r="A410" s="230"/>
      <c r="B410" s="230"/>
      <c r="C410" s="230"/>
      <c r="D410" s="230"/>
      <c r="E410" s="230"/>
      <c r="F410" s="230"/>
      <c r="G410" s="23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</row>
    <row r="411" ht="15.75" customHeight="1">
      <c r="A411" s="230"/>
      <c r="B411" s="230"/>
      <c r="C411" s="230"/>
      <c r="D411" s="230"/>
      <c r="E411" s="230"/>
      <c r="F411" s="230"/>
      <c r="G411" s="23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</row>
    <row r="412" ht="15.75" customHeight="1">
      <c r="A412" s="230"/>
      <c r="B412" s="230"/>
      <c r="C412" s="230"/>
      <c r="D412" s="230"/>
      <c r="E412" s="230"/>
      <c r="F412" s="230"/>
      <c r="G412" s="23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</row>
    <row r="413" ht="15.75" customHeight="1">
      <c r="A413" s="230"/>
      <c r="B413" s="230"/>
      <c r="C413" s="230"/>
      <c r="D413" s="230"/>
      <c r="E413" s="230"/>
      <c r="F413" s="230"/>
      <c r="G413" s="23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</row>
    <row r="414" ht="15.75" customHeight="1">
      <c r="A414" s="230"/>
      <c r="B414" s="230"/>
      <c r="C414" s="230"/>
      <c r="D414" s="230"/>
      <c r="E414" s="230"/>
      <c r="F414" s="230"/>
      <c r="G414" s="23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</row>
    <row r="415" ht="15.75" customHeight="1">
      <c r="A415" s="230"/>
      <c r="B415" s="230"/>
      <c r="C415" s="230"/>
      <c r="D415" s="230"/>
      <c r="E415" s="230"/>
      <c r="F415" s="230"/>
      <c r="G415" s="23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</row>
    <row r="416" ht="15.75" customHeight="1">
      <c r="A416" s="230"/>
      <c r="B416" s="230"/>
      <c r="C416" s="230"/>
      <c r="D416" s="230"/>
      <c r="E416" s="230"/>
      <c r="F416" s="230"/>
      <c r="G416" s="23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</row>
    <row r="417" ht="15.75" customHeight="1">
      <c r="A417" s="230"/>
      <c r="B417" s="230"/>
      <c r="C417" s="230"/>
      <c r="D417" s="230"/>
      <c r="E417" s="230"/>
      <c r="F417" s="230"/>
      <c r="G417" s="23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</row>
    <row r="418" ht="15.75" customHeight="1">
      <c r="A418" s="230"/>
      <c r="B418" s="230"/>
      <c r="C418" s="230"/>
      <c r="D418" s="230"/>
      <c r="E418" s="230"/>
      <c r="F418" s="230"/>
      <c r="G418" s="23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</row>
    <row r="419" ht="15.75" customHeight="1">
      <c r="A419" s="230"/>
      <c r="B419" s="230"/>
      <c r="C419" s="230"/>
      <c r="D419" s="230"/>
      <c r="E419" s="230"/>
      <c r="F419" s="230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</row>
    <row r="420" ht="15.75" customHeight="1">
      <c r="A420" s="230"/>
      <c r="B420" s="230"/>
      <c r="C420" s="230"/>
      <c r="D420" s="230"/>
      <c r="E420" s="230"/>
      <c r="F420" s="230"/>
      <c r="G420" s="23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</row>
    <row r="421" ht="15.75" customHeight="1">
      <c r="A421" s="230"/>
      <c r="B421" s="230"/>
      <c r="C421" s="230"/>
      <c r="D421" s="230"/>
      <c r="E421" s="230"/>
      <c r="F421" s="230"/>
      <c r="G421" s="23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</row>
    <row r="422" ht="15.75" customHeight="1">
      <c r="A422" s="230"/>
      <c r="B422" s="230"/>
      <c r="C422" s="230"/>
      <c r="D422" s="230"/>
      <c r="E422" s="230"/>
      <c r="F422" s="230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</row>
    <row r="423" ht="15.75" customHeight="1">
      <c r="A423" s="230"/>
      <c r="B423" s="230"/>
      <c r="C423" s="230"/>
      <c r="D423" s="230"/>
      <c r="E423" s="230"/>
      <c r="F423" s="230"/>
      <c r="G423" s="23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</row>
    <row r="424" ht="15.75" customHeight="1">
      <c r="A424" s="230"/>
      <c r="B424" s="230"/>
      <c r="C424" s="230"/>
      <c r="D424" s="230"/>
      <c r="E424" s="230"/>
      <c r="F424" s="230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</row>
    <row r="425" ht="15.75" customHeight="1">
      <c r="A425" s="230"/>
      <c r="B425" s="230"/>
      <c r="C425" s="230"/>
      <c r="D425" s="230"/>
      <c r="E425" s="230"/>
      <c r="F425" s="230"/>
      <c r="G425" s="23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</row>
    <row r="426" ht="15.75" customHeight="1">
      <c r="A426" s="230"/>
      <c r="B426" s="230"/>
      <c r="C426" s="230"/>
      <c r="D426" s="230"/>
      <c r="E426" s="230"/>
      <c r="F426" s="230"/>
      <c r="G426" s="23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</row>
    <row r="427" ht="15.75" customHeight="1">
      <c r="A427" s="230"/>
      <c r="B427" s="230"/>
      <c r="C427" s="230"/>
      <c r="D427" s="230"/>
      <c r="E427" s="230"/>
      <c r="F427" s="230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</row>
    <row r="428" ht="15.75" customHeight="1">
      <c r="A428" s="230"/>
      <c r="B428" s="230"/>
      <c r="C428" s="230"/>
      <c r="D428" s="230"/>
      <c r="E428" s="230"/>
      <c r="F428" s="230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</row>
    <row r="429" ht="15.75" customHeight="1">
      <c r="A429" s="230"/>
      <c r="B429" s="230"/>
      <c r="C429" s="230"/>
      <c r="D429" s="230"/>
      <c r="E429" s="230"/>
      <c r="F429" s="230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</row>
    <row r="430" ht="15.75" customHeight="1">
      <c r="A430" s="230"/>
      <c r="B430" s="230"/>
      <c r="C430" s="230"/>
      <c r="D430" s="230"/>
      <c r="E430" s="230"/>
      <c r="F430" s="230"/>
      <c r="G430" s="23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</row>
    <row r="431" ht="15.75" customHeight="1">
      <c r="A431" s="230"/>
      <c r="B431" s="230"/>
      <c r="C431" s="230"/>
      <c r="D431" s="230"/>
      <c r="E431" s="230"/>
      <c r="F431" s="230"/>
      <c r="G431" s="23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</row>
    <row r="432" ht="15.75" customHeight="1">
      <c r="A432" s="230"/>
      <c r="B432" s="230"/>
      <c r="C432" s="230"/>
      <c r="D432" s="230"/>
      <c r="E432" s="230"/>
      <c r="F432" s="230"/>
      <c r="G432" s="23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</row>
    <row r="433" ht="15.75" customHeight="1">
      <c r="A433" s="230"/>
      <c r="B433" s="230"/>
      <c r="C433" s="230"/>
      <c r="D433" s="230"/>
      <c r="E433" s="230"/>
      <c r="F433" s="230"/>
      <c r="G433" s="23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</row>
    <row r="434" ht="15.75" customHeight="1">
      <c r="A434" s="230"/>
      <c r="B434" s="230"/>
      <c r="C434" s="230"/>
      <c r="D434" s="230"/>
      <c r="E434" s="230"/>
      <c r="F434" s="230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</row>
    <row r="435" ht="15.75" customHeight="1">
      <c r="A435" s="230"/>
      <c r="B435" s="230"/>
      <c r="C435" s="230"/>
      <c r="D435" s="230"/>
      <c r="E435" s="230"/>
      <c r="F435" s="230"/>
      <c r="G435" s="23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</row>
    <row r="436" ht="15.75" customHeight="1">
      <c r="A436" s="230"/>
      <c r="B436" s="230"/>
      <c r="C436" s="230"/>
      <c r="D436" s="230"/>
      <c r="E436" s="230"/>
      <c r="F436" s="230"/>
      <c r="G436" s="23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</row>
    <row r="437" ht="15.75" customHeight="1">
      <c r="A437" s="230"/>
      <c r="B437" s="230"/>
      <c r="C437" s="230"/>
      <c r="D437" s="230"/>
      <c r="E437" s="230"/>
      <c r="F437" s="230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</row>
    <row r="438" ht="15.75" customHeight="1">
      <c r="A438" s="230"/>
      <c r="B438" s="230"/>
      <c r="C438" s="230"/>
      <c r="D438" s="230"/>
      <c r="E438" s="230"/>
      <c r="F438" s="230"/>
      <c r="G438" s="23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</row>
    <row r="439" ht="15.75" customHeight="1">
      <c r="A439" s="230"/>
      <c r="B439" s="230"/>
      <c r="C439" s="230"/>
      <c r="D439" s="230"/>
      <c r="E439" s="230"/>
      <c r="F439" s="230"/>
      <c r="G439" s="23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</row>
    <row r="440" ht="15.75" customHeight="1">
      <c r="A440" s="230"/>
      <c r="B440" s="230"/>
      <c r="C440" s="230"/>
      <c r="D440" s="230"/>
      <c r="E440" s="230"/>
      <c r="F440" s="230"/>
      <c r="G440" s="230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</row>
    <row r="441" ht="15.75" customHeight="1">
      <c r="A441" s="230"/>
      <c r="B441" s="230"/>
      <c r="C441" s="230"/>
      <c r="D441" s="230"/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</row>
    <row r="442" ht="15.75" customHeight="1">
      <c r="A442" s="230"/>
      <c r="B442" s="230"/>
      <c r="C442" s="230"/>
      <c r="D442" s="230"/>
      <c r="E442" s="230"/>
      <c r="F442" s="230"/>
      <c r="G442" s="230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</row>
    <row r="443" ht="15.75" customHeight="1">
      <c r="A443" s="230"/>
      <c r="B443" s="230"/>
      <c r="C443" s="230"/>
      <c r="D443" s="230"/>
      <c r="E443" s="230"/>
      <c r="F443" s="230"/>
      <c r="G443" s="23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</row>
    <row r="444" ht="15.75" customHeight="1">
      <c r="A444" s="230"/>
      <c r="B444" s="230"/>
      <c r="C444" s="230"/>
      <c r="D444" s="230"/>
      <c r="E444" s="230"/>
      <c r="F444" s="230"/>
      <c r="G444" s="23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</row>
    <row r="445" ht="15.75" customHeight="1">
      <c r="A445" s="230"/>
      <c r="B445" s="230"/>
      <c r="C445" s="230"/>
      <c r="D445" s="230"/>
      <c r="E445" s="230"/>
      <c r="F445" s="230"/>
      <c r="G445" s="23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</row>
    <row r="446" ht="15.75" customHeight="1">
      <c r="A446" s="230"/>
      <c r="B446" s="230"/>
      <c r="C446" s="230"/>
      <c r="D446" s="230"/>
      <c r="E446" s="230"/>
      <c r="F446" s="230"/>
      <c r="G446" s="23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</row>
    <row r="447" ht="15.75" customHeight="1">
      <c r="A447" s="230"/>
      <c r="B447" s="230"/>
      <c r="C447" s="230"/>
      <c r="D447" s="230"/>
      <c r="E447" s="230"/>
      <c r="F447" s="230"/>
      <c r="G447" s="23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</row>
    <row r="448" ht="15.75" customHeight="1">
      <c r="A448" s="230"/>
      <c r="B448" s="230"/>
      <c r="C448" s="230"/>
      <c r="D448" s="230"/>
      <c r="E448" s="230"/>
      <c r="F448" s="230"/>
      <c r="G448" s="23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</row>
    <row r="449" ht="15.75" customHeight="1">
      <c r="A449" s="230"/>
      <c r="B449" s="230"/>
      <c r="C449" s="230"/>
      <c r="D449" s="230"/>
      <c r="E449" s="230"/>
      <c r="F449" s="230"/>
      <c r="G449" s="23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</row>
    <row r="450" ht="15.75" customHeight="1">
      <c r="A450" s="230"/>
      <c r="B450" s="230"/>
      <c r="C450" s="230"/>
      <c r="D450" s="230"/>
      <c r="E450" s="230"/>
      <c r="F450" s="230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</row>
    <row r="451" ht="15.75" customHeight="1">
      <c r="A451" s="230"/>
      <c r="B451" s="230"/>
      <c r="C451" s="230"/>
      <c r="D451" s="230"/>
      <c r="E451" s="230"/>
      <c r="F451" s="230"/>
      <c r="G451" s="23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</row>
    <row r="452" ht="15.75" customHeight="1">
      <c r="A452" s="230"/>
      <c r="B452" s="230"/>
      <c r="C452" s="230"/>
      <c r="D452" s="230"/>
      <c r="E452" s="230"/>
      <c r="F452" s="230"/>
      <c r="G452" s="23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</row>
    <row r="453" ht="15.75" customHeight="1">
      <c r="A453" s="230"/>
      <c r="B453" s="230"/>
      <c r="C453" s="230"/>
      <c r="D453" s="230"/>
      <c r="E453" s="230"/>
      <c r="F453" s="230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</row>
    <row r="454" ht="15.75" customHeight="1">
      <c r="A454" s="230"/>
      <c r="B454" s="230"/>
      <c r="C454" s="230"/>
      <c r="D454" s="230"/>
      <c r="E454" s="230"/>
      <c r="F454" s="230"/>
      <c r="G454" s="23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</row>
    <row r="455" ht="15.75" customHeight="1">
      <c r="A455" s="230"/>
      <c r="B455" s="230"/>
      <c r="C455" s="230"/>
      <c r="D455" s="230"/>
      <c r="E455" s="230"/>
      <c r="F455" s="230"/>
      <c r="G455" s="23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</row>
    <row r="456" ht="15.75" customHeight="1">
      <c r="A456" s="230"/>
      <c r="B456" s="230"/>
      <c r="C456" s="230"/>
      <c r="D456" s="230"/>
      <c r="E456" s="230"/>
      <c r="F456" s="230"/>
      <c r="G456" s="23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</row>
    <row r="457" ht="15.75" customHeight="1">
      <c r="A457" s="230"/>
      <c r="B457" s="230"/>
      <c r="C457" s="230"/>
      <c r="D457" s="230"/>
      <c r="E457" s="230"/>
      <c r="F457" s="230"/>
      <c r="G457" s="23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</row>
    <row r="458" ht="15.75" customHeight="1">
      <c r="A458" s="230"/>
      <c r="B458" s="230"/>
      <c r="C458" s="230"/>
      <c r="D458" s="230"/>
      <c r="E458" s="230"/>
      <c r="F458" s="230"/>
      <c r="G458" s="23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</row>
    <row r="459" ht="15.75" customHeight="1">
      <c r="A459" s="230"/>
      <c r="B459" s="230"/>
      <c r="C459" s="230"/>
      <c r="D459" s="230"/>
      <c r="E459" s="230"/>
      <c r="F459" s="230"/>
      <c r="G459" s="23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</row>
    <row r="460" ht="15.75" customHeight="1">
      <c r="A460" s="230"/>
      <c r="B460" s="230"/>
      <c r="C460" s="230"/>
      <c r="D460" s="230"/>
      <c r="E460" s="230"/>
      <c r="F460" s="230"/>
      <c r="G460" s="23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</row>
    <row r="461" ht="15.75" customHeight="1">
      <c r="A461" s="230"/>
      <c r="B461" s="230"/>
      <c r="C461" s="230"/>
      <c r="D461" s="230"/>
      <c r="E461" s="230"/>
      <c r="F461" s="230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</row>
    <row r="462" ht="15.75" customHeight="1">
      <c r="A462" s="230"/>
      <c r="B462" s="230"/>
      <c r="C462" s="230"/>
      <c r="D462" s="230"/>
      <c r="E462" s="230"/>
      <c r="F462" s="230"/>
      <c r="G462" s="23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</row>
    <row r="463" ht="15.75" customHeight="1">
      <c r="A463" s="230"/>
      <c r="B463" s="230"/>
      <c r="C463" s="230"/>
      <c r="D463" s="230"/>
      <c r="E463" s="230"/>
      <c r="F463" s="230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</row>
    <row r="464" ht="15.75" customHeight="1">
      <c r="A464" s="230"/>
      <c r="B464" s="230"/>
      <c r="C464" s="230"/>
      <c r="D464" s="230"/>
      <c r="E464" s="230"/>
      <c r="F464" s="230"/>
      <c r="G464" s="23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</row>
    <row r="465" ht="15.75" customHeight="1">
      <c r="A465" s="230"/>
      <c r="B465" s="230"/>
      <c r="C465" s="230"/>
      <c r="D465" s="230"/>
      <c r="E465" s="230"/>
      <c r="F465" s="230"/>
      <c r="G465" s="23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</row>
    <row r="466" ht="15.75" customHeight="1">
      <c r="A466" s="230"/>
      <c r="B466" s="230"/>
      <c r="C466" s="230"/>
      <c r="D466" s="230"/>
      <c r="E466" s="230"/>
      <c r="F466" s="230"/>
      <c r="G466" s="23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</row>
    <row r="467" ht="15.75" customHeight="1">
      <c r="A467" s="230"/>
      <c r="B467" s="230"/>
      <c r="C467" s="230"/>
      <c r="D467" s="230"/>
      <c r="E467" s="230"/>
      <c r="F467" s="230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</row>
    <row r="468" ht="15.75" customHeight="1">
      <c r="A468" s="230"/>
      <c r="B468" s="230"/>
      <c r="C468" s="230"/>
      <c r="D468" s="230"/>
      <c r="E468" s="230"/>
      <c r="F468" s="230"/>
      <c r="G468" s="23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</row>
    <row r="469" ht="15.75" customHeight="1">
      <c r="A469" s="230"/>
      <c r="B469" s="230"/>
      <c r="C469" s="230"/>
      <c r="D469" s="230"/>
      <c r="E469" s="230"/>
      <c r="F469" s="230"/>
      <c r="G469" s="23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</row>
    <row r="470" ht="15.75" customHeight="1">
      <c r="A470" s="230"/>
      <c r="B470" s="230"/>
      <c r="C470" s="230"/>
      <c r="D470" s="230"/>
      <c r="E470" s="230"/>
      <c r="F470" s="230"/>
      <c r="G470" s="23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</row>
    <row r="471" ht="15.75" customHeight="1">
      <c r="A471" s="230"/>
      <c r="B471" s="230"/>
      <c r="C471" s="230"/>
      <c r="D471" s="230"/>
      <c r="E471" s="230"/>
      <c r="F471" s="230"/>
      <c r="G471" s="23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</row>
    <row r="472" ht="15.75" customHeight="1">
      <c r="A472" s="230"/>
      <c r="B472" s="230"/>
      <c r="C472" s="230"/>
      <c r="D472" s="230"/>
      <c r="E472" s="230"/>
      <c r="F472" s="230"/>
      <c r="G472" s="23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</row>
    <row r="473" ht="15.75" customHeight="1">
      <c r="A473" s="230"/>
      <c r="B473" s="230"/>
      <c r="C473" s="230"/>
      <c r="D473" s="230"/>
      <c r="E473" s="230"/>
      <c r="F473" s="230"/>
      <c r="G473" s="23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</row>
    <row r="474" ht="15.75" customHeight="1">
      <c r="A474" s="230"/>
      <c r="B474" s="230"/>
      <c r="C474" s="230"/>
      <c r="D474" s="230"/>
      <c r="E474" s="230"/>
      <c r="F474" s="230"/>
      <c r="G474" s="23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</row>
    <row r="475" ht="15.75" customHeight="1">
      <c r="A475" s="230"/>
      <c r="B475" s="230"/>
      <c r="C475" s="230"/>
      <c r="D475" s="230"/>
      <c r="E475" s="230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</row>
    <row r="476" ht="15.75" customHeight="1">
      <c r="A476" s="230"/>
      <c r="B476" s="230"/>
      <c r="C476" s="230"/>
      <c r="D476" s="230"/>
      <c r="E476" s="230"/>
      <c r="F476" s="230"/>
      <c r="G476" s="23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</row>
    <row r="477" ht="15.75" customHeight="1">
      <c r="A477" s="230"/>
      <c r="B477" s="230"/>
      <c r="C477" s="230"/>
      <c r="D477" s="230"/>
      <c r="E477" s="230"/>
      <c r="F477" s="230"/>
      <c r="G477" s="23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</row>
    <row r="478" ht="15.75" customHeight="1">
      <c r="A478" s="230"/>
      <c r="B478" s="230"/>
      <c r="C478" s="230"/>
      <c r="D478" s="230"/>
      <c r="E478" s="230"/>
      <c r="F478" s="230"/>
      <c r="G478" s="23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</row>
    <row r="479" ht="15.75" customHeight="1">
      <c r="A479" s="230"/>
      <c r="B479" s="230"/>
      <c r="C479" s="230"/>
      <c r="D479" s="230"/>
      <c r="E479" s="230"/>
      <c r="F479" s="230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</row>
    <row r="480" ht="15.75" customHeight="1">
      <c r="A480" s="230"/>
      <c r="B480" s="230"/>
      <c r="C480" s="230"/>
      <c r="D480" s="230"/>
      <c r="E480" s="230"/>
      <c r="F480" s="230"/>
      <c r="G480" s="23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</row>
    <row r="481" ht="15.75" customHeight="1">
      <c r="A481" s="230"/>
      <c r="B481" s="230"/>
      <c r="C481" s="230"/>
      <c r="D481" s="230"/>
      <c r="E481" s="230"/>
      <c r="F481" s="230"/>
      <c r="G481" s="23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</row>
    <row r="482" ht="15.75" customHeight="1">
      <c r="A482" s="230"/>
      <c r="B482" s="230"/>
      <c r="C482" s="230"/>
      <c r="D482" s="230"/>
      <c r="E482" s="230"/>
      <c r="F482" s="230"/>
      <c r="G482" s="23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</row>
    <row r="483" ht="15.75" customHeight="1">
      <c r="A483" s="230"/>
      <c r="B483" s="230"/>
      <c r="C483" s="230"/>
      <c r="D483" s="230"/>
      <c r="E483" s="230"/>
      <c r="F483" s="230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</row>
    <row r="484" ht="15.75" customHeight="1">
      <c r="A484" s="230"/>
      <c r="B484" s="230"/>
      <c r="C484" s="230"/>
      <c r="D484" s="230"/>
      <c r="E484" s="230"/>
      <c r="F484" s="230"/>
      <c r="G484" s="23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</row>
    <row r="485" ht="15.75" customHeight="1">
      <c r="A485" s="230"/>
      <c r="B485" s="230"/>
      <c r="C485" s="230"/>
      <c r="D485" s="230"/>
      <c r="E485" s="230"/>
      <c r="F485" s="230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</row>
    <row r="486" ht="15.75" customHeight="1">
      <c r="A486" s="230"/>
      <c r="B486" s="230"/>
      <c r="C486" s="230"/>
      <c r="D486" s="230"/>
      <c r="E486" s="230"/>
      <c r="F486" s="230"/>
      <c r="G486" s="23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</row>
    <row r="487" ht="15.75" customHeight="1">
      <c r="A487" s="230"/>
      <c r="B487" s="230"/>
      <c r="C487" s="230"/>
      <c r="D487" s="230"/>
      <c r="E487" s="230"/>
      <c r="F487" s="230"/>
      <c r="G487" s="23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</row>
    <row r="488" ht="15.75" customHeight="1">
      <c r="A488" s="230"/>
      <c r="B488" s="230"/>
      <c r="C488" s="230"/>
      <c r="D488" s="230"/>
      <c r="E488" s="230"/>
      <c r="F488" s="230"/>
      <c r="G488" s="23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</row>
    <row r="489" ht="15.75" customHeight="1">
      <c r="A489" s="230"/>
      <c r="B489" s="230"/>
      <c r="C489" s="230"/>
      <c r="D489" s="230"/>
      <c r="E489" s="230"/>
      <c r="F489" s="230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</row>
    <row r="490" ht="15.75" customHeight="1">
      <c r="A490" s="230"/>
      <c r="B490" s="230"/>
      <c r="C490" s="230"/>
      <c r="D490" s="230"/>
      <c r="E490" s="230"/>
      <c r="F490" s="230"/>
      <c r="G490" s="23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</row>
    <row r="491" ht="15.75" customHeight="1">
      <c r="A491" s="230"/>
      <c r="B491" s="230"/>
      <c r="C491" s="230"/>
      <c r="D491" s="230"/>
      <c r="E491" s="230"/>
      <c r="F491" s="230"/>
      <c r="G491" s="23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</row>
    <row r="492" ht="15.75" customHeight="1">
      <c r="A492" s="230"/>
      <c r="B492" s="230"/>
      <c r="C492" s="230"/>
      <c r="D492" s="230"/>
      <c r="E492" s="230"/>
      <c r="F492" s="230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</row>
    <row r="493" ht="15.75" customHeight="1">
      <c r="A493" s="230"/>
      <c r="B493" s="230"/>
      <c r="C493" s="230"/>
      <c r="D493" s="230"/>
      <c r="E493" s="230"/>
      <c r="F493" s="230"/>
      <c r="G493" s="23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</row>
    <row r="494" ht="15.75" customHeight="1">
      <c r="A494" s="230"/>
      <c r="B494" s="230"/>
      <c r="C494" s="230"/>
      <c r="D494" s="230"/>
      <c r="E494" s="230"/>
      <c r="F494" s="230"/>
      <c r="G494" s="23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</row>
    <row r="495" ht="15.75" customHeight="1">
      <c r="A495" s="230"/>
      <c r="B495" s="230"/>
      <c r="C495" s="230"/>
      <c r="D495" s="230"/>
      <c r="E495" s="230"/>
      <c r="F495" s="230"/>
      <c r="G495" s="23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</row>
    <row r="496" ht="15.75" customHeight="1">
      <c r="A496" s="230"/>
      <c r="B496" s="230"/>
      <c r="C496" s="230"/>
      <c r="D496" s="230"/>
      <c r="E496" s="230"/>
      <c r="F496" s="230"/>
      <c r="G496" s="23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</row>
    <row r="497" ht="15.75" customHeight="1">
      <c r="A497" s="230"/>
      <c r="B497" s="230"/>
      <c r="C497" s="230"/>
      <c r="D497" s="230"/>
      <c r="E497" s="230"/>
      <c r="F497" s="230"/>
      <c r="G497" s="23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</row>
    <row r="498" ht="15.75" customHeight="1">
      <c r="A498" s="230"/>
      <c r="B498" s="230"/>
      <c r="C498" s="230"/>
      <c r="D498" s="230"/>
      <c r="E498" s="230"/>
      <c r="F498" s="230"/>
      <c r="G498" s="230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</row>
    <row r="499" ht="15.75" customHeight="1">
      <c r="A499" s="230"/>
      <c r="B499" s="230"/>
      <c r="C499" s="230"/>
      <c r="D499" s="230"/>
      <c r="E499" s="230"/>
      <c r="F499" s="230"/>
      <c r="G499" s="23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</row>
    <row r="500" ht="15.75" customHeight="1">
      <c r="A500" s="230"/>
      <c r="B500" s="230"/>
      <c r="C500" s="230"/>
      <c r="D500" s="230"/>
      <c r="E500" s="230"/>
      <c r="F500" s="230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</row>
    <row r="501" ht="15.75" customHeight="1">
      <c r="A501" s="230"/>
      <c r="B501" s="230"/>
      <c r="C501" s="230"/>
      <c r="D501" s="230"/>
      <c r="E501" s="230"/>
      <c r="F501" s="230"/>
      <c r="G501" s="23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</row>
    <row r="502" ht="15.75" customHeight="1">
      <c r="A502" s="230"/>
      <c r="B502" s="230"/>
      <c r="C502" s="230"/>
      <c r="D502" s="230"/>
      <c r="E502" s="230"/>
      <c r="F502" s="230"/>
      <c r="G502" s="23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</row>
    <row r="503" ht="15.75" customHeight="1">
      <c r="A503" s="230"/>
      <c r="B503" s="230"/>
      <c r="C503" s="230"/>
      <c r="D503" s="230"/>
      <c r="E503" s="230"/>
      <c r="F503" s="230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</row>
    <row r="504" ht="15.75" customHeight="1">
      <c r="A504" s="230"/>
      <c r="B504" s="230"/>
      <c r="C504" s="230"/>
      <c r="D504" s="230"/>
      <c r="E504" s="230"/>
      <c r="F504" s="230"/>
      <c r="G504" s="23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</row>
    <row r="505" ht="15.75" customHeight="1">
      <c r="A505" s="230"/>
      <c r="B505" s="230"/>
      <c r="C505" s="230"/>
      <c r="D505" s="230"/>
      <c r="E505" s="230"/>
      <c r="F505" s="230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</row>
    <row r="506" ht="15.75" customHeight="1">
      <c r="A506" s="230"/>
      <c r="B506" s="230"/>
      <c r="C506" s="230"/>
      <c r="D506" s="230"/>
      <c r="E506" s="230"/>
      <c r="F506" s="230"/>
      <c r="G506" s="23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</row>
    <row r="507" ht="15.75" customHeight="1">
      <c r="A507" s="230"/>
      <c r="B507" s="230"/>
      <c r="C507" s="230"/>
      <c r="D507" s="230"/>
      <c r="E507" s="230"/>
      <c r="F507" s="230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</row>
    <row r="508" ht="15.75" customHeight="1">
      <c r="A508" s="230"/>
      <c r="B508" s="230"/>
      <c r="C508" s="230"/>
      <c r="D508" s="230"/>
      <c r="E508" s="230"/>
      <c r="F508" s="230"/>
      <c r="G508" s="23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</row>
    <row r="509" ht="15.75" customHeight="1">
      <c r="A509" s="230"/>
      <c r="B509" s="230"/>
      <c r="C509" s="230"/>
      <c r="D509" s="230"/>
      <c r="E509" s="230"/>
      <c r="F509" s="230"/>
      <c r="G509" s="23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</row>
    <row r="510" ht="15.75" customHeight="1">
      <c r="A510" s="230"/>
      <c r="B510" s="230"/>
      <c r="C510" s="230"/>
      <c r="D510" s="230"/>
      <c r="E510" s="230"/>
      <c r="F510" s="230"/>
      <c r="G510" s="23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</row>
    <row r="511" ht="15.75" customHeight="1">
      <c r="A511" s="230"/>
      <c r="B511" s="230"/>
      <c r="C511" s="230"/>
      <c r="D511" s="230"/>
      <c r="E511" s="230"/>
      <c r="F511" s="230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</row>
    <row r="512" ht="15.75" customHeight="1">
      <c r="A512" s="230"/>
      <c r="B512" s="230"/>
      <c r="C512" s="230"/>
      <c r="D512" s="230"/>
      <c r="E512" s="230"/>
      <c r="F512" s="230"/>
      <c r="G512" s="23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</row>
    <row r="513" ht="15.75" customHeight="1">
      <c r="A513" s="230"/>
      <c r="B513" s="230"/>
      <c r="C513" s="230"/>
      <c r="D513" s="230"/>
      <c r="E513" s="230"/>
      <c r="F513" s="230"/>
      <c r="G513" s="23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</row>
    <row r="514" ht="15.75" customHeight="1">
      <c r="A514" s="230"/>
      <c r="B514" s="230"/>
      <c r="C514" s="230"/>
      <c r="D514" s="230"/>
      <c r="E514" s="230"/>
      <c r="F514" s="230"/>
      <c r="G514" s="23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</row>
    <row r="515" ht="15.75" customHeight="1">
      <c r="A515" s="230"/>
      <c r="B515" s="230"/>
      <c r="C515" s="230"/>
      <c r="D515" s="230"/>
      <c r="E515" s="230"/>
      <c r="F515" s="230"/>
      <c r="G515" s="23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</row>
    <row r="516" ht="15.75" customHeight="1">
      <c r="A516" s="230"/>
      <c r="B516" s="230"/>
      <c r="C516" s="230"/>
      <c r="D516" s="230"/>
      <c r="E516" s="230"/>
      <c r="F516" s="230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</row>
    <row r="517" ht="15.75" customHeight="1">
      <c r="A517" s="230"/>
      <c r="B517" s="230"/>
      <c r="C517" s="230"/>
      <c r="D517" s="230"/>
      <c r="E517" s="230"/>
      <c r="F517" s="230"/>
      <c r="G517" s="23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</row>
    <row r="518" ht="15.75" customHeight="1">
      <c r="A518" s="230"/>
      <c r="B518" s="230"/>
      <c r="C518" s="230"/>
      <c r="D518" s="230"/>
      <c r="E518" s="230"/>
      <c r="F518" s="230"/>
      <c r="G518" s="23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</row>
    <row r="519" ht="15.75" customHeight="1">
      <c r="A519" s="230"/>
      <c r="B519" s="230"/>
      <c r="C519" s="230"/>
      <c r="D519" s="230"/>
      <c r="E519" s="230"/>
      <c r="F519" s="230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</row>
    <row r="520" ht="15.75" customHeight="1">
      <c r="A520" s="230"/>
      <c r="B520" s="230"/>
      <c r="C520" s="230"/>
      <c r="D520" s="230"/>
      <c r="E520" s="230"/>
      <c r="F520" s="230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</row>
    <row r="521" ht="15.75" customHeight="1">
      <c r="A521" s="230"/>
      <c r="B521" s="230"/>
      <c r="C521" s="230"/>
      <c r="D521" s="230"/>
      <c r="E521" s="230"/>
      <c r="F521" s="230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</row>
    <row r="522" ht="15.75" customHeight="1">
      <c r="A522" s="230"/>
      <c r="B522" s="230"/>
      <c r="C522" s="230"/>
      <c r="D522" s="230"/>
      <c r="E522" s="230"/>
      <c r="F522" s="230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</row>
    <row r="523" ht="15.75" customHeight="1">
      <c r="A523" s="230"/>
      <c r="B523" s="230"/>
      <c r="C523" s="230"/>
      <c r="D523" s="230"/>
      <c r="E523" s="230"/>
      <c r="F523" s="230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</row>
    <row r="524" ht="15.75" customHeight="1">
      <c r="A524" s="230"/>
      <c r="B524" s="230"/>
      <c r="C524" s="230"/>
      <c r="D524" s="230"/>
      <c r="E524" s="230"/>
      <c r="F524" s="230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</row>
    <row r="525" ht="15.75" customHeight="1">
      <c r="A525" s="230"/>
      <c r="B525" s="230"/>
      <c r="C525" s="230"/>
      <c r="D525" s="230"/>
      <c r="E525" s="230"/>
      <c r="F525" s="230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</row>
    <row r="526" ht="15.75" customHeight="1">
      <c r="A526" s="230"/>
      <c r="B526" s="230"/>
      <c r="C526" s="230"/>
      <c r="D526" s="230"/>
      <c r="E526" s="230"/>
      <c r="F526" s="230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</row>
    <row r="527" ht="15.75" customHeight="1">
      <c r="A527" s="230"/>
      <c r="B527" s="230"/>
      <c r="C527" s="230"/>
      <c r="D527" s="230"/>
      <c r="E527" s="230"/>
      <c r="F527" s="230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</row>
    <row r="528" ht="15.75" customHeight="1">
      <c r="A528" s="230"/>
      <c r="B528" s="230"/>
      <c r="C528" s="230"/>
      <c r="D528" s="230"/>
      <c r="E528" s="230"/>
      <c r="F528" s="230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</row>
    <row r="529" ht="15.75" customHeight="1">
      <c r="A529" s="230"/>
      <c r="B529" s="230"/>
      <c r="C529" s="230"/>
      <c r="D529" s="230"/>
      <c r="E529" s="230"/>
      <c r="F529" s="230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</row>
    <row r="530" ht="15.75" customHeight="1">
      <c r="A530" s="230"/>
      <c r="B530" s="230"/>
      <c r="C530" s="230"/>
      <c r="D530" s="230"/>
      <c r="E530" s="230"/>
      <c r="F530" s="230"/>
      <c r="G530" s="23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</row>
    <row r="531" ht="15.75" customHeight="1">
      <c r="A531" s="230"/>
      <c r="B531" s="230"/>
      <c r="C531" s="230"/>
      <c r="D531" s="230"/>
      <c r="E531" s="230"/>
      <c r="F531" s="230"/>
      <c r="G531" s="23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</row>
    <row r="532" ht="15.75" customHeight="1">
      <c r="A532" s="230"/>
      <c r="B532" s="230"/>
      <c r="C532" s="230"/>
      <c r="D532" s="230"/>
      <c r="E532" s="230"/>
      <c r="F532" s="230"/>
      <c r="G532" s="230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</row>
    <row r="533" ht="15.75" customHeight="1">
      <c r="A533" s="230"/>
      <c r="B533" s="230"/>
      <c r="C533" s="230"/>
      <c r="D533" s="230"/>
      <c r="E533" s="230"/>
      <c r="F533" s="230"/>
      <c r="G533" s="23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</row>
    <row r="534" ht="15.75" customHeight="1">
      <c r="A534" s="230"/>
      <c r="B534" s="230"/>
      <c r="C534" s="230"/>
      <c r="D534" s="230"/>
      <c r="E534" s="230"/>
      <c r="F534" s="230"/>
      <c r="G534" s="23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</row>
    <row r="535" ht="15.75" customHeight="1">
      <c r="A535" s="230"/>
      <c r="B535" s="230"/>
      <c r="C535" s="230"/>
      <c r="D535" s="230"/>
      <c r="E535" s="230"/>
      <c r="F535" s="230"/>
      <c r="G535" s="23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</row>
    <row r="536" ht="15.75" customHeight="1">
      <c r="A536" s="230"/>
      <c r="B536" s="230"/>
      <c r="C536" s="230"/>
      <c r="D536" s="230"/>
      <c r="E536" s="230"/>
      <c r="F536" s="230"/>
      <c r="G536" s="23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</row>
    <row r="537" ht="15.75" customHeight="1">
      <c r="A537" s="230"/>
      <c r="B537" s="230"/>
      <c r="C537" s="230"/>
      <c r="D537" s="230"/>
      <c r="E537" s="230"/>
      <c r="F537" s="230"/>
      <c r="G537" s="23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</row>
    <row r="538" ht="15.75" customHeight="1">
      <c r="A538" s="230"/>
      <c r="B538" s="230"/>
      <c r="C538" s="230"/>
      <c r="D538" s="230"/>
      <c r="E538" s="230"/>
      <c r="F538" s="230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</row>
    <row r="539" ht="15.75" customHeight="1">
      <c r="A539" s="230"/>
      <c r="B539" s="230"/>
      <c r="C539" s="230"/>
      <c r="D539" s="230"/>
      <c r="E539" s="230"/>
      <c r="F539" s="230"/>
      <c r="G539" s="23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</row>
    <row r="540" ht="15.75" customHeight="1">
      <c r="A540" s="230"/>
      <c r="B540" s="230"/>
      <c r="C540" s="230"/>
      <c r="D540" s="230"/>
      <c r="E540" s="230"/>
      <c r="F540" s="230"/>
      <c r="G540" s="23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</row>
    <row r="541" ht="15.75" customHeight="1">
      <c r="A541" s="230"/>
      <c r="B541" s="230"/>
      <c r="C541" s="230"/>
      <c r="D541" s="230"/>
      <c r="E541" s="230"/>
      <c r="F541" s="230"/>
      <c r="G541" s="23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</row>
    <row r="542" ht="15.75" customHeight="1">
      <c r="A542" s="230"/>
      <c r="B542" s="230"/>
      <c r="C542" s="230"/>
      <c r="D542" s="230"/>
      <c r="E542" s="230"/>
      <c r="F542" s="230"/>
      <c r="G542" s="23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</row>
    <row r="543" ht="15.75" customHeight="1">
      <c r="A543" s="230"/>
      <c r="B543" s="230"/>
      <c r="C543" s="230"/>
      <c r="D543" s="230"/>
      <c r="E543" s="230"/>
      <c r="F543" s="230"/>
      <c r="G543" s="23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</row>
    <row r="544" ht="15.75" customHeight="1">
      <c r="A544" s="230"/>
      <c r="B544" s="230"/>
      <c r="C544" s="230"/>
      <c r="D544" s="230"/>
      <c r="E544" s="230"/>
      <c r="F544" s="230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</row>
    <row r="545" ht="15.75" customHeight="1">
      <c r="A545" s="230"/>
      <c r="B545" s="230"/>
      <c r="C545" s="230"/>
      <c r="D545" s="230"/>
      <c r="E545" s="230"/>
      <c r="F545" s="230"/>
      <c r="G545" s="23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</row>
    <row r="546" ht="15.75" customHeight="1">
      <c r="A546" s="230"/>
      <c r="B546" s="230"/>
      <c r="C546" s="230"/>
      <c r="D546" s="230"/>
      <c r="E546" s="230"/>
      <c r="F546" s="230"/>
      <c r="G546" s="23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</row>
    <row r="547" ht="15.75" customHeight="1">
      <c r="A547" s="230"/>
      <c r="B547" s="230"/>
      <c r="C547" s="230"/>
      <c r="D547" s="230"/>
      <c r="E547" s="230"/>
      <c r="F547" s="230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</row>
    <row r="548" ht="15.75" customHeight="1">
      <c r="A548" s="230"/>
      <c r="B548" s="230"/>
      <c r="C548" s="230"/>
      <c r="D548" s="230"/>
      <c r="E548" s="230"/>
      <c r="F548" s="230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</row>
    <row r="549" ht="15.75" customHeight="1">
      <c r="A549" s="230"/>
      <c r="B549" s="230"/>
      <c r="C549" s="230"/>
      <c r="D549" s="230"/>
      <c r="E549" s="230"/>
      <c r="F549" s="230"/>
      <c r="G549" s="23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</row>
    <row r="550" ht="15.75" customHeight="1">
      <c r="A550" s="230"/>
      <c r="B550" s="230"/>
      <c r="C550" s="230"/>
      <c r="D550" s="230"/>
      <c r="E550" s="230"/>
      <c r="F550" s="230"/>
      <c r="G550" s="23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</row>
    <row r="551" ht="15.75" customHeight="1">
      <c r="A551" s="230"/>
      <c r="B551" s="230"/>
      <c r="C551" s="230"/>
      <c r="D551" s="230"/>
      <c r="E551" s="230"/>
      <c r="F551" s="230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</row>
    <row r="552" ht="15.75" customHeight="1">
      <c r="A552" s="230"/>
      <c r="B552" s="230"/>
      <c r="C552" s="230"/>
      <c r="D552" s="230"/>
      <c r="E552" s="230"/>
      <c r="F552" s="230"/>
      <c r="G552" s="23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</row>
    <row r="553" ht="15.75" customHeight="1">
      <c r="A553" s="230"/>
      <c r="B553" s="230"/>
      <c r="C553" s="230"/>
      <c r="D553" s="230"/>
      <c r="E553" s="230"/>
      <c r="F553" s="230"/>
      <c r="G553" s="23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</row>
    <row r="554" ht="15.75" customHeight="1">
      <c r="A554" s="230"/>
      <c r="B554" s="230"/>
      <c r="C554" s="230"/>
      <c r="D554" s="230"/>
      <c r="E554" s="230"/>
      <c r="F554" s="230"/>
      <c r="G554" s="23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</row>
    <row r="555" ht="15.75" customHeight="1">
      <c r="A555" s="230"/>
      <c r="B555" s="230"/>
      <c r="C555" s="230"/>
      <c r="D555" s="230"/>
      <c r="E555" s="230"/>
      <c r="F555" s="230"/>
      <c r="G555" s="23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</row>
    <row r="556" ht="15.75" customHeight="1">
      <c r="A556" s="230"/>
      <c r="B556" s="230"/>
      <c r="C556" s="230"/>
      <c r="D556" s="230"/>
      <c r="E556" s="230"/>
      <c r="F556" s="230"/>
      <c r="G556" s="23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</row>
    <row r="557" ht="15.75" customHeight="1">
      <c r="A557" s="230"/>
      <c r="B557" s="230"/>
      <c r="C557" s="230"/>
      <c r="D557" s="230"/>
      <c r="E557" s="230"/>
      <c r="F557" s="230"/>
      <c r="G557" s="23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</row>
    <row r="558" ht="15.75" customHeight="1">
      <c r="A558" s="230"/>
      <c r="B558" s="230"/>
      <c r="C558" s="230"/>
      <c r="D558" s="230"/>
      <c r="E558" s="230"/>
      <c r="F558" s="230"/>
      <c r="G558" s="23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</row>
    <row r="559" ht="15.75" customHeight="1">
      <c r="A559" s="230"/>
      <c r="B559" s="230"/>
      <c r="C559" s="230"/>
      <c r="D559" s="230"/>
      <c r="E559" s="230"/>
      <c r="F559" s="230"/>
      <c r="G559" s="23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</row>
    <row r="560" ht="15.75" customHeight="1">
      <c r="A560" s="230"/>
      <c r="B560" s="230"/>
      <c r="C560" s="230"/>
      <c r="D560" s="230"/>
      <c r="E560" s="230"/>
      <c r="F560" s="230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</row>
    <row r="561" ht="15.75" customHeight="1">
      <c r="A561" s="230"/>
      <c r="B561" s="230"/>
      <c r="C561" s="230"/>
      <c r="D561" s="230"/>
      <c r="E561" s="230"/>
      <c r="F561" s="230"/>
      <c r="G561" s="23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</row>
    <row r="562" ht="15.75" customHeight="1">
      <c r="A562" s="230"/>
      <c r="B562" s="230"/>
      <c r="C562" s="230"/>
      <c r="D562" s="230"/>
      <c r="E562" s="230"/>
      <c r="F562" s="230"/>
      <c r="G562" s="23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</row>
    <row r="563" ht="15.75" customHeight="1">
      <c r="A563" s="230"/>
      <c r="B563" s="230"/>
      <c r="C563" s="230"/>
      <c r="D563" s="230"/>
      <c r="E563" s="230"/>
      <c r="F563" s="230"/>
      <c r="G563" s="23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</row>
    <row r="564" ht="15.75" customHeight="1">
      <c r="A564" s="230"/>
      <c r="B564" s="230"/>
      <c r="C564" s="230"/>
      <c r="D564" s="230"/>
      <c r="E564" s="230"/>
      <c r="F564" s="230"/>
      <c r="G564" s="23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</row>
    <row r="565" ht="15.75" customHeight="1">
      <c r="A565" s="230"/>
      <c r="B565" s="230"/>
      <c r="C565" s="230"/>
      <c r="D565" s="230"/>
      <c r="E565" s="230"/>
      <c r="F565" s="230"/>
      <c r="G565" s="23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</row>
    <row r="566" ht="15.75" customHeight="1">
      <c r="A566" s="230"/>
      <c r="B566" s="230"/>
      <c r="C566" s="230"/>
      <c r="D566" s="230"/>
      <c r="E566" s="230"/>
      <c r="F566" s="230"/>
      <c r="G566" s="23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</row>
    <row r="567" ht="15.75" customHeight="1">
      <c r="A567" s="230"/>
      <c r="B567" s="230"/>
      <c r="C567" s="230"/>
      <c r="D567" s="230"/>
      <c r="E567" s="230"/>
      <c r="F567" s="230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</row>
    <row r="568" ht="15.75" customHeight="1">
      <c r="A568" s="230"/>
      <c r="B568" s="230"/>
      <c r="C568" s="230"/>
      <c r="D568" s="230"/>
      <c r="E568" s="230"/>
      <c r="F568" s="230"/>
      <c r="G568" s="23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</row>
    <row r="569" ht="15.75" customHeight="1">
      <c r="A569" s="230"/>
      <c r="B569" s="230"/>
      <c r="C569" s="230"/>
      <c r="D569" s="230"/>
      <c r="E569" s="230"/>
      <c r="F569" s="230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</row>
    <row r="570" ht="15.75" customHeight="1">
      <c r="A570" s="230"/>
      <c r="B570" s="230"/>
      <c r="C570" s="230"/>
      <c r="D570" s="230"/>
      <c r="E570" s="230"/>
      <c r="F570" s="230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</row>
    <row r="571" ht="15.75" customHeight="1">
      <c r="A571" s="230"/>
      <c r="B571" s="230"/>
      <c r="C571" s="230"/>
      <c r="D571" s="230"/>
      <c r="E571" s="230"/>
      <c r="F571" s="230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</row>
    <row r="572" ht="15.75" customHeight="1">
      <c r="A572" s="230"/>
      <c r="B572" s="230"/>
      <c r="C572" s="230"/>
      <c r="D572" s="230"/>
      <c r="E572" s="230"/>
      <c r="F572" s="230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</row>
    <row r="573" ht="15.75" customHeight="1">
      <c r="A573" s="230"/>
      <c r="B573" s="230"/>
      <c r="C573" s="230"/>
      <c r="D573" s="230"/>
      <c r="E573" s="230"/>
      <c r="F573" s="230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</row>
    <row r="574" ht="15.75" customHeight="1">
      <c r="A574" s="230"/>
      <c r="B574" s="230"/>
      <c r="C574" s="230"/>
      <c r="D574" s="230"/>
      <c r="E574" s="230"/>
      <c r="F574" s="230"/>
      <c r="G574" s="23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</row>
    <row r="575" ht="15.75" customHeight="1">
      <c r="A575" s="230"/>
      <c r="B575" s="230"/>
      <c r="C575" s="230"/>
      <c r="D575" s="230"/>
      <c r="E575" s="230"/>
      <c r="F575" s="230"/>
      <c r="G575" s="23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</row>
    <row r="576" ht="15.75" customHeight="1">
      <c r="A576" s="230"/>
      <c r="B576" s="230"/>
      <c r="C576" s="230"/>
      <c r="D576" s="230"/>
      <c r="E576" s="230"/>
      <c r="F576" s="230"/>
      <c r="G576" s="23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</row>
    <row r="577" ht="15.75" customHeight="1">
      <c r="A577" s="230"/>
      <c r="B577" s="230"/>
      <c r="C577" s="230"/>
      <c r="D577" s="230"/>
      <c r="E577" s="230"/>
      <c r="F577" s="230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</row>
    <row r="578" ht="15.75" customHeight="1">
      <c r="A578" s="230"/>
      <c r="B578" s="230"/>
      <c r="C578" s="230"/>
      <c r="D578" s="230"/>
      <c r="E578" s="230"/>
      <c r="F578" s="230"/>
      <c r="G578" s="23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</row>
    <row r="579" ht="15.75" customHeight="1">
      <c r="A579" s="230"/>
      <c r="B579" s="230"/>
      <c r="C579" s="230"/>
      <c r="D579" s="230"/>
      <c r="E579" s="230"/>
      <c r="F579" s="230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</row>
    <row r="580" ht="15.75" customHeight="1">
      <c r="A580" s="230"/>
      <c r="B580" s="230"/>
      <c r="C580" s="230"/>
      <c r="D580" s="230"/>
      <c r="E580" s="230"/>
      <c r="F580" s="230"/>
      <c r="G580" s="23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</row>
    <row r="581" ht="15.75" customHeight="1">
      <c r="A581" s="230"/>
      <c r="B581" s="230"/>
      <c r="C581" s="230"/>
      <c r="D581" s="230"/>
      <c r="E581" s="230"/>
      <c r="F581" s="230"/>
      <c r="G581" s="23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</row>
    <row r="582" ht="15.75" customHeight="1">
      <c r="A582" s="230"/>
      <c r="B582" s="230"/>
      <c r="C582" s="230"/>
      <c r="D582" s="230"/>
      <c r="E582" s="230"/>
      <c r="F582" s="230"/>
      <c r="G582" s="23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</row>
    <row r="583" ht="15.75" customHeight="1">
      <c r="A583" s="230"/>
      <c r="B583" s="230"/>
      <c r="C583" s="230"/>
      <c r="D583" s="230"/>
      <c r="E583" s="230"/>
      <c r="F583" s="230"/>
      <c r="G583" s="230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</row>
    <row r="584" ht="15.75" customHeight="1">
      <c r="A584" s="230"/>
      <c r="B584" s="230"/>
      <c r="C584" s="230"/>
      <c r="D584" s="230"/>
      <c r="E584" s="230"/>
      <c r="F584" s="230"/>
      <c r="G584" s="230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</row>
    <row r="585" ht="15.75" customHeight="1">
      <c r="A585" s="230"/>
      <c r="B585" s="230"/>
      <c r="C585" s="230"/>
      <c r="D585" s="230"/>
      <c r="E585" s="230"/>
      <c r="F585" s="230"/>
      <c r="G585" s="230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</row>
    <row r="586" ht="15.75" customHeight="1">
      <c r="A586" s="230"/>
      <c r="B586" s="230"/>
      <c r="C586" s="230"/>
      <c r="D586" s="230"/>
      <c r="E586" s="230"/>
      <c r="F586" s="230"/>
      <c r="G586" s="230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</row>
    <row r="587" ht="15.75" customHeight="1">
      <c r="A587" s="230"/>
      <c r="B587" s="230"/>
      <c r="C587" s="230"/>
      <c r="D587" s="230"/>
      <c r="E587" s="230"/>
      <c r="F587" s="230"/>
      <c r="G587" s="230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</row>
    <row r="588" ht="15.75" customHeight="1">
      <c r="A588" s="230"/>
      <c r="B588" s="230"/>
      <c r="C588" s="230"/>
      <c r="D588" s="230"/>
      <c r="E588" s="230"/>
      <c r="F588" s="230"/>
      <c r="G588" s="230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</row>
    <row r="589" ht="15.75" customHeight="1">
      <c r="A589" s="230"/>
      <c r="B589" s="230"/>
      <c r="C589" s="230"/>
      <c r="D589" s="230"/>
      <c r="E589" s="230"/>
      <c r="F589" s="230"/>
      <c r="G589" s="230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</row>
    <row r="590" ht="15.75" customHeight="1">
      <c r="A590" s="230"/>
      <c r="B590" s="230"/>
      <c r="C590" s="230"/>
      <c r="D590" s="230"/>
      <c r="E590" s="230"/>
      <c r="F590" s="230"/>
      <c r="G590" s="230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</row>
    <row r="591" ht="15.75" customHeight="1">
      <c r="A591" s="230"/>
      <c r="B591" s="230"/>
      <c r="C591" s="230"/>
      <c r="D591" s="230"/>
      <c r="E591" s="230"/>
      <c r="F591" s="230"/>
      <c r="G591" s="230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</row>
    <row r="592" ht="15.75" customHeight="1">
      <c r="A592" s="230"/>
      <c r="B592" s="230"/>
      <c r="C592" s="230"/>
      <c r="D592" s="230"/>
      <c r="E592" s="230"/>
      <c r="F592" s="230"/>
      <c r="G592" s="230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</row>
    <row r="593" ht="15.75" customHeight="1">
      <c r="A593" s="230"/>
      <c r="B593" s="230"/>
      <c r="C593" s="230"/>
      <c r="D593" s="230"/>
      <c r="E593" s="230"/>
      <c r="F593" s="230"/>
      <c r="G593" s="230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</row>
    <row r="594" ht="15.75" customHeight="1">
      <c r="A594" s="230"/>
      <c r="B594" s="230"/>
      <c r="C594" s="230"/>
      <c r="D594" s="230"/>
      <c r="E594" s="230"/>
      <c r="F594" s="230"/>
      <c r="G594" s="230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</row>
    <row r="595" ht="15.75" customHeight="1">
      <c r="A595" s="230"/>
      <c r="B595" s="230"/>
      <c r="C595" s="230"/>
      <c r="D595" s="230"/>
      <c r="E595" s="230"/>
      <c r="F595" s="230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</row>
    <row r="596" ht="15.75" customHeight="1">
      <c r="A596" s="230"/>
      <c r="B596" s="230"/>
      <c r="C596" s="230"/>
      <c r="D596" s="230"/>
      <c r="E596" s="230"/>
      <c r="F596" s="230"/>
      <c r="G596" s="230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</row>
    <row r="597" ht="15.75" customHeight="1">
      <c r="A597" s="230"/>
      <c r="B597" s="230"/>
      <c r="C597" s="230"/>
      <c r="D597" s="230"/>
      <c r="E597" s="230"/>
      <c r="F597" s="230"/>
      <c r="G597" s="230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</row>
    <row r="598" ht="15.75" customHeight="1">
      <c r="A598" s="230"/>
      <c r="B598" s="230"/>
      <c r="C598" s="230"/>
      <c r="D598" s="230"/>
      <c r="E598" s="230"/>
      <c r="F598" s="230"/>
      <c r="G598" s="230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</row>
    <row r="599" ht="15.75" customHeight="1">
      <c r="A599" s="230"/>
      <c r="B599" s="230"/>
      <c r="C599" s="230"/>
      <c r="D599" s="230"/>
      <c r="E599" s="230"/>
      <c r="F599" s="230"/>
      <c r="G599" s="23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</row>
    <row r="600" ht="15.75" customHeight="1">
      <c r="A600" s="230"/>
      <c r="B600" s="230"/>
      <c r="C600" s="230"/>
      <c r="D600" s="230"/>
      <c r="E600" s="230"/>
      <c r="F600" s="230"/>
      <c r="G600" s="230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</row>
    <row r="601" ht="15.75" customHeight="1">
      <c r="A601" s="230"/>
      <c r="B601" s="230"/>
      <c r="C601" s="230"/>
      <c r="D601" s="230"/>
      <c r="E601" s="230"/>
      <c r="F601" s="230"/>
      <c r="G601" s="230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</row>
    <row r="602" ht="15.75" customHeight="1">
      <c r="A602" s="230"/>
      <c r="B602" s="230"/>
      <c r="C602" s="230"/>
      <c r="D602" s="230"/>
      <c r="E602" s="230"/>
      <c r="F602" s="230"/>
      <c r="G602" s="230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</row>
    <row r="603" ht="15.75" customHeight="1">
      <c r="A603" s="230"/>
      <c r="B603" s="230"/>
      <c r="C603" s="230"/>
      <c r="D603" s="230"/>
      <c r="E603" s="230"/>
      <c r="F603" s="230"/>
      <c r="G603" s="230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</row>
    <row r="604" ht="15.75" customHeight="1">
      <c r="A604" s="230"/>
      <c r="B604" s="230"/>
      <c r="C604" s="230"/>
      <c r="D604" s="230"/>
      <c r="E604" s="230"/>
      <c r="F604" s="230"/>
      <c r="G604" s="230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</row>
    <row r="605" ht="15.75" customHeight="1">
      <c r="A605" s="230"/>
      <c r="B605" s="230"/>
      <c r="C605" s="230"/>
      <c r="D605" s="230"/>
      <c r="E605" s="230"/>
      <c r="F605" s="230"/>
      <c r="G605" s="23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</row>
    <row r="606" ht="15.75" customHeight="1">
      <c r="A606" s="230"/>
      <c r="B606" s="230"/>
      <c r="C606" s="230"/>
      <c r="D606" s="230"/>
      <c r="E606" s="230"/>
      <c r="F606" s="230"/>
      <c r="G606" s="23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</row>
    <row r="607" ht="15.75" customHeight="1">
      <c r="A607" s="230"/>
      <c r="B607" s="230"/>
      <c r="C607" s="230"/>
      <c r="D607" s="230"/>
      <c r="E607" s="230"/>
      <c r="F607" s="230"/>
      <c r="G607" s="230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</row>
    <row r="608" ht="15.75" customHeight="1">
      <c r="A608" s="230"/>
      <c r="B608" s="230"/>
      <c r="C608" s="230"/>
      <c r="D608" s="230"/>
      <c r="E608" s="230"/>
      <c r="F608" s="230"/>
      <c r="G608" s="230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</row>
    <row r="609" ht="15.75" customHeight="1">
      <c r="A609" s="230"/>
      <c r="B609" s="230"/>
      <c r="C609" s="230"/>
      <c r="D609" s="230"/>
      <c r="E609" s="230"/>
      <c r="F609" s="230"/>
      <c r="G609" s="230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</row>
    <row r="610" ht="15.75" customHeight="1">
      <c r="A610" s="230"/>
      <c r="B610" s="230"/>
      <c r="C610" s="230"/>
      <c r="D610" s="230"/>
      <c r="E610" s="230"/>
      <c r="F610" s="230"/>
      <c r="G610" s="230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</row>
    <row r="611" ht="15.75" customHeight="1">
      <c r="A611" s="230"/>
      <c r="B611" s="230"/>
      <c r="C611" s="230"/>
      <c r="D611" s="230"/>
      <c r="E611" s="230"/>
      <c r="F611" s="230"/>
      <c r="G611" s="230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</row>
    <row r="612" ht="15.75" customHeight="1">
      <c r="A612" s="230"/>
      <c r="B612" s="230"/>
      <c r="C612" s="230"/>
      <c r="D612" s="230"/>
      <c r="E612" s="230"/>
      <c r="F612" s="230"/>
      <c r="G612" s="230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</row>
    <row r="613" ht="15.75" customHeight="1">
      <c r="A613" s="230"/>
      <c r="B613" s="230"/>
      <c r="C613" s="230"/>
      <c r="D613" s="230"/>
      <c r="E613" s="230"/>
      <c r="F613" s="230"/>
      <c r="G613" s="230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</row>
    <row r="614" ht="15.75" customHeight="1">
      <c r="A614" s="230"/>
      <c r="B614" s="230"/>
      <c r="C614" s="230"/>
      <c r="D614" s="230"/>
      <c r="E614" s="230"/>
      <c r="F614" s="230"/>
      <c r="G614" s="23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</row>
    <row r="615" ht="15.75" customHeight="1">
      <c r="A615" s="230"/>
      <c r="B615" s="230"/>
      <c r="C615" s="230"/>
      <c r="D615" s="230"/>
      <c r="E615" s="230"/>
      <c r="F615" s="230"/>
      <c r="G615" s="230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</row>
    <row r="616" ht="15.75" customHeight="1">
      <c r="A616" s="230"/>
      <c r="B616" s="230"/>
      <c r="C616" s="230"/>
      <c r="D616" s="230"/>
      <c r="E616" s="230"/>
      <c r="F616" s="230"/>
      <c r="G616" s="230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</row>
    <row r="617" ht="15.75" customHeight="1">
      <c r="A617" s="230"/>
      <c r="B617" s="230"/>
      <c r="C617" s="230"/>
      <c r="D617" s="230"/>
      <c r="E617" s="230"/>
      <c r="F617" s="230"/>
      <c r="G617" s="23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</row>
    <row r="618" ht="15.75" customHeight="1">
      <c r="A618" s="230"/>
      <c r="B618" s="230"/>
      <c r="C618" s="230"/>
      <c r="D618" s="230"/>
      <c r="E618" s="230"/>
      <c r="F618" s="230"/>
      <c r="G618" s="230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</row>
    <row r="619" ht="15.75" customHeight="1">
      <c r="A619" s="230"/>
      <c r="B619" s="230"/>
      <c r="C619" s="230"/>
      <c r="D619" s="230"/>
      <c r="E619" s="230"/>
      <c r="F619" s="230"/>
      <c r="G619" s="230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</row>
    <row r="620" ht="15.75" customHeight="1">
      <c r="A620" s="230"/>
      <c r="B620" s="230"/>
      <c r="C620" s="230"/>
      <c r="D620" s="230"/>
      <c r="E620" s="230"/>
      <c r="F620" s="230"/>
      <c r="G620" s="230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</row>
    <row r="621" ht="15.75" customHeight="1">
      <c r="A621" s="230"/>
      <c r="B621" s="230"/>
      <c r="C621" s="230"/>
      <c r="D621" s="230"/>
      <c r="E621" s="230"/>
      <c r="F621" s="230"/>
      <c r="G621" s="230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</row>
    <row r="622" ht="15.75" customHeight="1">
      <c r="A622" s="230"/>
      <c r="B622" s="230"/>
      <c r="C622" s="230"/>
      <c r="D622" s="230"/>
      <c r="E622" s="230"/>
      <c r="F622" s="230"/>
      <c r="G622" s="230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</row>
    <row r="623" ht="15.75" customHeight="1">
      <c r="A623" s="230"/>
      <c r="B623" s="230"/>
      <c r="C623" s="230"/>
      <c r="D623" s="230"/>
      <c r="E623" s="230"/>
      <c r="F623" s="230"/>
      <c r="G623" s="230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</row>
    <row r="624" ht="15.75" customHeight="1">
      <c r="A624" s="230"/>
      <c r="B624" s="230"/>
      <c r="C624" s="230"/>
      <c r="D624" s="230"/>
      <c r="E624" s="230"/>
      <c r="F624" s="230"/>
      <c r="G624" s="230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</row>
    <row r="625" ht="15.75" customHeight="1">
      <c r="A625" s="230"/>
      <c r="B625" s="230"/>
      <c r="C625" s="230"/>
      <c r="D625" s="230"/>
      <c r="E625" s="230"/>
      <c r="F625" s="230"/>
      <c r="G625" s="230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</row>
    <row r="626" ht="15.75" customHeight="1">
      <c r="A626" s="230"/>
      <c r="B626" s="230"/>
      <c r="C626" s="230"/>
      <c r="D626" s="230"/>
      <c r="E626" s="230"/>
      <c r="F626" s="230"/>
      <c r="G626" s="23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</row>
    <row r="627" ht="15.75" customHeight="1">
      <c r="A627" s="230"/>
      <c r="B627" s="230"/>
      <c r="C627" s="230"/>
      <c r="D627" s="230"/>
      <c r="E627" s="230"/>
      <c r="F627" s="230"/>
      <c r="G627" s="230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</row>
    <row r="628" ht="15.75" customHeight="1">
      <c r="A628" s="230"/>
      <c r="B628" s="230"/>
      <c r="C628" s="230"/>
      <c r="D628" s="230"/>
      <c r="E628" s="230"/>
      <c r="F628" s="230"/>
      <c r="G628" s="230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</row>
    <row r="629" ht="15.75" customHeight="1">
      <c r="A629" s="230"/>
      <c r="B629" s="230"/>
      <c r="C629" s="230"/>
      <c r="D629" s="230"/>
      <c r="E629" s="230"/>
      <c r="F629" s="230"/>
      <c r="G629" s="230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</row>
    <row r="630" ht="15.75" customHeight="1">
      <c r="A630" s="230"/>
      <c r="B630" s="230"/>
      <c r="C630" s="230"/>
      <c r="D630" s="230"/>
      <c r="E630" s="230"/>
      <c r="F630" s="230"/>
      <c r="G630" s="230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</row>
    <row r="631" ht="15.75" customHeight="1">
      <c r="A631" s="230"/>
      <c r="B631" s="230"/>
      <c r="C631" s="230"/>
      <c r="D631" s="230"/>
      <c r="E631" s="230"/>
      <c r="F631" s="230"/>
      <c r="G631" s="230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</row>
    <row r="632" ht="15.75" customHeight="1">
      <c r="A632" s="230"/>
      <c r="B632" s="230"/>
      <c r="C632" s="230"/>
      <c r="D632" s="230"/>
      <c r="E632" s="230"/>
      <c r="F632" s="230"/>
      <c r="G632" s="23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</row>
    <row r="633" ht="15.75" customHeight="1">
      <c r="A633" s="230"/>
      <c r="B633" s="230"/>
      <c r="C633" s="230"/>
      <c r="D633" s="230"/>
      <c r="E633" s="230"/>
      <c r="F633" s="230"/>
      <c r="G633" s="230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</row>
    <row r="634" ht="15.75" customHeight="1">
      <c r="A634" s="230"/>
      <c r="B634" s="230"/>
      <c r="C634" s="230"/>
      <c r="D634" s="230"/>
      <c r="E634" s="230"/>
      <c r="F634" s="230"/>
      <c r="G634" s="230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</row>
    <row r="635" ht="15.75" customHeight="1">
      <c r="A635" s="230"/>
      <c r="B635" s="230"/>
      <c r="C635" s="230"/>
      <c r="D635" s="230"/>
      <c r="E635" s="230"/>
      <c r="F635" s="230"/>
      <c r="G635" s="230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</row>
    <row r="636" ht="15.75" customHeight="1">
      <c r="A636" s="230"/>
      <c r="B636" s="230"/>
      <c r="C636" s="230"/>
      <c r="D636" s="230"/>
      <c r="E636" s="230"/>
      <c r="F636" s="230"/>
      <c r="G636" s="230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</row>
    <row r="637" ht="15.75" customHeight="1">
      <c r="A637" s="230"/>
      <c r="B637" s="230"/>
      <c r="C637" s="230"/>
      <c r="D637" s="230"/>
      <c r="E637" s="230"/>
      <c r="F637" s="230"/>
      <c r="G637" s="230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</row>
    <row r="638" ht="15.75" customHeight="1">
      <c r="A638" s="230"/>
      <c r="B638" s="230"/>
      <c r="C638" s="230"/>
      <c r="D638" s="230"/>
      <c r="E638" s="230"/>
      <c r="F638" s="230"/>
      <c r="G638" s="230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</row>
    <row r="639" ht="15.75" customHeight="1">
      <c r="A639" s="230"/>
      <c r="B639" s="230"/>
      <c r="C639" s="230"/>
      <c r="D639" s="230"/>
      <c r="E639" s="230"/>
      <c r="F639" s="230"/>
      <c r="G639" s="23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</row>
    <row r="640" ht="15.75" customHeight="1">
      <c r="A640" s="230"/>
      <c r="B640" s="230"/>
      <c r="C640" s="230"/>
      <c r="D640" s="230"/>
      <c r="E640" s="230"/>
      <c r="F640" s="230"/>
      <c r="G640" s="230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</row>
    <row r="641" ht="15.75" customHeight="1">
      <c r="A641" s="230"/>
      <c r="B641" s="230"/>
      <c r="C641" s="230"/>
      <c r="D641" s="230"/>
      <c r="E641" s="230"/>
      <c r="F641" s="230"/>
      <c r="G641" s="230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</row>
    <row r="642" ht="15.75" customHeight="1">
      <c r="A642" s="230"/>
      <c r="B642" s="230"/>
      <c r="C642" s="230"/>
      <c r="D642" s="230"/>
      <c r="E642" s="230"/>
      <c r="F642" s="230"/>
      <c r="G642" s="230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</row>
    <row r="643" ht="15.75" customHeight="1">
      <c r="A643" s="230"/>
      <c r="B643" s="230"/>
      <c r="C643" s="230"/>
      <c r="D643" s="230"/>
      <c r="E643" s="230"/>
      <c r="F643" s="230"/>
      <c r="G643" s="230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</row>
    <row r="644" ht="15.75" customHeight="1">
      <c r="A644" s="230"/>
      <c r="B644" s="230"/>
      <c r="C644" s="230"/>
      <c r="D644" s="230"/>
      <c r="E644" s="230"/>
      <c r="F644" s="230"/>
      <c r="G644" s="230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</row>
    <row r="645" ht="15.75" customHeight="1">
      <c r="A645" s="230"/>
      <c r="B645" s="230"/>
      <c r="C645" s="230"/>
      <c r="D645" s="230"/>
      <c r="E645" s="230"/>
      <c r="F645" s="230"/>
      <c r="G645" s="230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</row>
    <row r="646" ht="15.75" customHeight="1">
      <c r="A646" s="230"/>
      <c r="B646" s="230"/>
      <c r="C646" s="230"/>
      <c r="D646" s="230"/>
      <c r="E646" s="230"/>
      <c r="F646" s="230"/>
      <c r="G646" s="230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</row>
    <row r="647" ht="15.75" customHeight="1">
      <c r="A647" s="230"/>
      <c r="B647" s="230"/>
      <c r="C647" s="230"/>
      <c r="D647" s="230"/>
      <c r="E647" s="230"/>
      <c r="F647" s="230"/>
      <c r="G647" s="230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</row>
    <row r="648" ht="15.75" customHeight="1">
      <c r="A648" s="230"/>
      <c r="B648" s="230"/>
      <c r="C648" s="230"/>
      <c r="D648" s="230"/>
      <c r="E648" s="230"/>
      <c r="F648" s="230"/>
      <c r="G648" s="230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</row>
    <row r="649" ht="15.75" customHeight="1">
      <c r="A649" s="230"/>
      <c r="B649" s="230"/>
      <c r="C649" s="230"/>
      <c r="D649" s="230"/>
      <c r="E649" s="230"/>
      <c r="F649" s="230"/>
      <c r="G649" s="230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</row>
    <row r="650" ht="15.75" customHeight="1">
      <c r="A650" s="230"/>
      <c r="B650" s="230"/>
      <c r="C650" s="230"/>
      <c r="D650" s="230"/>
      <c r="E650" s="230"/>
      <c r="F650" s="230"/>
      <c r="G650" s="230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</row>
    <row r="651" ht="15.75" customHeight="1">
      <c r="A651" s="230"/>
      <c r="B651" s="230"/>
      <c r="C651" s="230"/>
      <c r="D651" s="230"/>
      <c r="E651" s="230"/>
      <c r="F651" s="230"/>
      <c r="G651" s="23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</row>
    <row r="652" ht="15.75" customHeight="1">
      <c r="A652" s="230"/>
      <c r="B652" s="230"/>
      <c r="C652" s="230"/>
      <c r="D652" s="230"/>
      <c r="E652" s="230"/>
      <c r="F652" s="230"/>
      <c r="G652" s="230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</row>
    <row r="653" ht="15.75" customHeight="1">
      <c r="A653" s="230"/>
      <c r="B653" s="230"/>
      <c r="C653" s="230"/>
      <c r="D653" s="230"/>
      <c r="E653" s="230"/>
      <c r="F653" s="230"/>
      <c r="G653" s="230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</row>
    <row r="654" ht="15.75" customHeight="1">
      <c r="A654" s="230"/>
      <c r="B654" s="230"/>
      <c r="C654" s="230"/>
      <c r="D654" s="230"/>
      <c r="E654" s="230"/>
      <c r="F654" s="230"/>
      <c r="G654" s="230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</row>
    <row r="655" ht="15.75" customHeight="1">
      <c r="A655" s="230"/>
      <c r="B655" s="230"/>
      <c r="C655" s="230"/>
      <c r="D655" s="230"/>
      <c r="E655" s="230"/>
      <c r="F655" s="230"/>
      <c r="G655" s="230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</row>
    <row r="656" ht="15.75" customHeight="1">
      <c r="A656" s="230"/>
      <c r="B656" s="230"/>
      <c r="C656" s="230"/>
      <c r="D656" s="230"/>
      <c r="E656" s="230"/>
      <c r="F656" s="230"/>
      <c r="G656" s="230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</row>
    <row r="657" ht="15.75" customHeight="1">
      <c r="A657" s="230"/>
      <c r="B657" s="230"/>
      <c r="C657" s="230"/>
      <c r="D657" s="230"/>
      <c r="E657" s="230"/>
      <c r="F657" s="230"/>
      <c r="G657" s="230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</row>
    <row r="658" ht="15.75" customHeight="1">
      <c r="A658" s="230"/>
      <c r="B658" s="230"/>
      <c r="C658" s="230"/>
      <c r="D658" s="230"/>
      <c r="E658" s="230"/>
      <c r="F658" s="230"/>
      <c r="G658" s="230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</row>
    <row r="659" ht="15.75" customHeight="1">
      <c r="A659" s="230"/>
      <c r="B659" s="230"/>
      <c r="C659" s="230"/>
      <c r="D659" s="230"/>
      <c r="E659" s="230"/>
      <c r="F659" s="230"/>
      <c r="G659" s="230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</row>
    <row r="660" ht="15.75" customHeight="1">
      <c r="A660" s="230"/>
      <c r="B660" s="230"/>
      <c r="C660" s="230"/>
      <c r="D660" s="230"/>
      <c r="E660" s="230"/>
      <c r="F660" s="230"/>
      <c r="G660" s="230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</row>
    <row r="661" ht="15.75" customHeight="1">
      <c r="A661" s="230"/>
      <c r="B661" s="230"/>
      <c r="C661" s="230"/>
      <c r="D661" s="230"/>
      <c r="E661" s="230"/>
      <c r="F661" s="230"/>
      <c r="G661" s="23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</row>
    <row r="662" ht="15.75" customHeight="1">
      <c r="A662" s="230"/>
      <c r="B662" s="230"/>
      <c r="C662" s="230"/>
      <c r="D662" s="230"/>
      <c r="E662" s="230"/>
      <c r="F662" s="230"/>
      <c r="G662" s="230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</row>
    <row r="663" ht="15.75" customHeight="1">
      <c r="A663" s="230"/>
      <c r="B663" s="230"/>
      <c r="C663" s="230"/>
      <c r="D663" s="230"/>
      <c r="E663" s="230"/>
      <c r="F663" s="230"/>
      <c r="G663" s="230"/>
      <c r="H663" s="230"/>
      <c r="I663" s="230"/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</row>
    <row r="664" ht="15.75" customHeight="1">
      <c r="A664" s="230"/>
      <c r="B664" s="230"/>
      <c r="C664" s="230"/>
      <c r="D664" s="230"/>
      <c r="E664" s="230"/>
      <c r="F664" s="230"/>
      <c r="G664" s="230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</row>
    <row r="665" ht="15.75" customHeight="1">
      <c r="A665" s="230"/>
      <c r="B665" s="230"/>
      <c r="C665" s="230"/>
      <c r="D665" s="230"/>
      <c r="E665" s="230"/>
      <c r="F665" s="230"/>
      <c r="G665" s="230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</row>
    <row r="666" ht="15.75" customHeight="1">
      <c r="A666" s="230"/>
      <c r="B666" s="230"/>
      <c r="C666" s="230"/>
      <c r="D666" s="230"/>
      <c r="E666" s="230"/>
      <c r="F666" s="230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</row>
    <row r="667" ht="15.75" customHeight="1">
      <c r="A667" s="230"/>
      <c r="B667" s="230"/>
      <c r="C667" s="230"/>
      <c r="D667" s="230"/>
      <c r="E667" s="230"/>
      <c r="F667" s="230"/>
      <c r="G667" s="230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</row>
    <row r="668" ht="15.75" customHeight="1">
      <c r="A668" s="230"/>
      <c r="B668" s="230"/>
      <c r="C668" s="230"/>
      <c r="D668" s="230"/>
      <c r="E668" s="230"/>
      <c r="F668" s="230"/>
      <c r="G668" s="230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</row>
    <row r="669" ht="15.75" customHeight="1">
      <c r="A669" s="230"/>
      <c r="B669" s="230"/>
      <c r="C669" s="230"/>
      <c r="D669" s="230"/>
      <c r="E669" s="230"/>
      <c r="F669" s="230"/>
      <c r="G669" s="230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</row>
    <row r="670" ht="15.75" customHeight="1">
      <c r="A670" s="230"/>
      <c r="B670" s="230"/>
      <c r="C670" s="230"/>
      <c r="D670" s="230"/>
      <c r="E670" s="230"/>
      <c r="F670" s="230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</row>
    <row r="671" ht="15.75" customHeight="1">
      <c r="A671" s="230"/>
      <c r="B671" s="230"/>
      <c r="C671" s="230"/>
      <c r="D671" s="230"/>
      <c r="E671" s="230"/>
      <c r="F671" s="230"/>
      <c r="G671" s="230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</row>
    <row r="672" ht="15.75" customHeight="1">
      <c r="A672" s="230"/>
      <c r="B672" s="230"/>
      <c r="C672" s="230"/>
      <c r="D672" s="230"/>
      <c r="E672" s="230"/>
      <c r="F672" s="230"/>
      <c r="G672" s="230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</row>
    <row r="673" ht="15.75" customHeight="1">
      <c r="A673" s="230"/>
      <c r="B673" s="230"/>
      <c r="C673" s="230"/>
      <c r="D673" s="230"/>
      <c r="E673" s="230"/>
      <c r="F673" s="230"/>
      <c r="G673" s="230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</row>
    <row r="674" ht="15.75" customHeight="1">
      <c r="A674" s="230"/>
      <c r="B674" s="230"/>
      <c r="C674" s="230"/>
      <c r="D674" s="230"/>
      <c r="E674" s="230"/>
      <c r="F674" s="230"/>
      <c r="G674" s="230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</row>
    <row r="675" ht="15.75" customHeight="1">
      <c r="A675" s="230"/>
      <c r="B675" s="230"/>
      <c r="C675" s="230"/>
      <c r="D675" s="230"/>
      <c r="E675" s="230"/>
      <c r="F675" s="230"/>
      <c r="G675" s="230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</row>
    <row r="676" ht="15.75" customHeight="1">
      <c r="A676" s="230"/>
      <c r="B676" s="230"/>
      <c r="C676" s="230"/>
      <c r="D676" s="230"/>
      <c r="E676" s="230"/>
      <c r="F676" s="230"/>
      <c r="G676" s="230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</row>
    <row r="677" ht="15.75" customHeight="1">
      <c r="A677" s="230"/>
      <c r="B677" s="230"/>
      <c r="C677" s="230"/>
      <c r="D677" s="230"/>
      <c r="E677" s="230"/>
      <c r="F677" s="230"/>
      <c r="G677" s="230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</row>
    <row r="678" ht="15.75" customHeight="1">
      <c r="A678" s="230"/>
      <c r="B678" s="230"/>
      <c r="C678" s="230"/>
      <c r="D678" s="230"/>
      <c r="E678" s="230"/>
      <c r="F678" s="230"/>
      <c r="G678" s="230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</row>
    <row r="679" ht="15.75" customHeight="1">
      <c r="A679" s="230"/>
      <c r="B679" s="230"/>
      <c r="C679" s="230"/>
      <c r="D679" s="230"/>
      <c r="E679" s="230"/>
      <c r="F679" s="230"/>
      <c r="G679" s="230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</row>
    <row r="680" ht="15.75" customHeight="1">
      <c r="A680" s="230"/>
      <c r="B680" s="230"/>
      <c r="C680" s="230"/>
      <c r="D680" s="230"/>
      <c r="E680" s="230"/>
      <c r="F680" s="230"/>
      <c r="G680" s="230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</row>
    <row r="681" ht="15.75" customHeight="1">
      <c r="A681" s="230"/>
      <c r="B681" s="230"/>
      <c r="C681" s="230"/>
      <c r="D681" s="230"/>
      <c r="E681" s="230"/>
      <c r="F681" s="230"/>
      <c r="G681" s="230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</row>
    <row r="682" ht="15.75" customHeight="1">
      <c r="A682" s="230"/>
      <c r="B682" s="230"/>
      <c r="C682" s="230"/>
      <c r="D682" s="230"/>
      <c r="E682" s="230"/>
      <c r="F682" s="230"/>
      <c r="G682" s="230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</row>
    <row r="683" ht="15.75" customHeight="1">
      <c r="A683" s="230"/>
      <c r="B683" s="230"/>
      <c r="C683" s="230"/>
      <c r="D683" s="230"/>
      <c r="E683" s="230"/>
      <c r="F683" s="230"/>
      <c r="G683" s="23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</row>
    <row r="684" ht="15.75" customHeight="1">
      <c r="A684" s="230"/>
      <c r="B684" s="230"/>
      <c r="C684" s="230"/>
      <c r="D684" s="230"/>
      <c r="E684" s="230"/>
      <c r="F684" s="230"/>
      <c r="G684" s="230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</row>
    <row r="685" ht="15.75" customHeight="1">
      <c r="A685" s="230"/>
      <c r="B685" s="230"/>
      <c r="C685" s="230"/>
      <c r="D685" s="230"/>
      <c r="E685" s="230"/>
      <c r="F685" s="230"/>
      <c r="G685" s="230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</row>
    <row r="686" ht="15.75" customHeight="1">
      <c r="A686" s="230"/>
      <c r="B686" s="230"/>
      <c r="C686" s="230"/>
      <c r="D686" s="230"/>
      <c r="E686" s="230"/>
      <c r="F686" s="230"/>
      <c r="G686" s="230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</row>
    <row r="687" ht="15.75" customHeight="1">
      <c r="A687" s="230"/>
      <c r="B687" s="230"/>
      <c r="C687" s="230"/>
      <c r="D687" s="230"/>
      <c r="E687" s="230"/>
      <c r="F687" s="230"/>
      <c r="G687" s="23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</row>
    <row r="688" ht="15.75" customHeight="1">
      <c r="A688" s="230"/>
      <c r="B688" s="230"/>
      <c r="C688" s="230"/>
      <c r="D688" s="230"/>
      <c r="E688" s="230"/>
      <c r="F688" s="230"/>
      <c r="G688" s="230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</row>
    <row r="689" ht="15.75" customHeight="1">
      <c r="A689" s="230"/>
      <c r="B689" s="230"/>
      <c r="C689" s="230"/>
      <c r="D689" s="230"/>
      <c r="E689" s="230"/>
      <c r="F689" s="230"/>
      <c r="G689" s="230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</row>
    <row r="690" ht="15.75" customHeight="1">
      <c r="A690" s="230"/>
      <c r="B690" s="230"/>
      <c r="C690" s="230"/>
      <c r="D690" s="230"/>
      <c r="E690" s="230"/>
      <c r="F690" s="230"/>
      <c r="G690" s="230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</row>
    <row r="691" ht="15.75" customHeight="1">
      <c r="A691" s="230"/>
      <c r="B691" s="230"/>
      <c r="C691" s="230"/>
      <c r="D691" s="230"/>
      <c r="E691" s="230"/>
      <c r="F691" s="230"/>
      <c r="G691" s="230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</row>
    <row r="692" ht="15.75" customHeight="1">
      <c r="A692" s="230"/>
      <c r="B692" s="230"/>
      <c r="C692" s="230"/>
      <c r="D692" s="230"/>
      <c r="E692" s="230"/>
      <c r="F692" s="230"/>
      <c r="G692" s="230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</row>
    <row r="693" ht="15.75" customHeight="1">
      <c r="A693" s="230"/>
      <c r="B693" s="230"/>
      <c r="C693" s="230"/>
      <c r="D693" s="230"/>
      <c r="E693" s="230"/>
      <c r="F693" s="230"/>
      <c r="G693" s="230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</row>
    <row r="694" ht="15.75" customHeight="1">
      <c r="A694" s="230"/>
      <c r="B694" s="230"/>
      <c r="C694" s="230"/>
      <c r="D694" s="230"/>
      <c r="E694" s="230"/>
      <c r="F694" s="230"/>
      <c r="G694" s="230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</row>
    <row r="695" ht="15.75" customHeight="1">
      <c r="A695" s="230"/>
      <c r="B695" s="230"/>
      <c r="C695" s="230"/>
      <c r="D695" s="230"/>
      <c r="E695" s="230"/>
      <c r="F695" s="230"/>
      <c r="G695" s="230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</row>
    <row r="696" ht="15.75" customHeight="1">
      <c r="A696" s="230"/>
      <c r="B696" s="230"/>
      <c r="C696" s="230"/>
      <c r="D696" s="230"/>
      <c r="E696" s="230"/>
      <c r="F696" s="230"/>
      <c r="G696" s="230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</row>
    <row r="697" ht="15.75" customHeight="1">
      <c r="A697" s="230"/>
      <c r="B697" s="230"/>
      <c r="C697" s="230"/>
      <c r="D697" s="230"/>
      <c r="E697" s="230"/>
      <c r="F697" s="230"/>
      <c r="G697" s="230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</row>
    <row r="698" ht="15.75" customHeight="1">
      <c r="A698" s="230"/>
      <c r="B698" s="230"/>
      <c r="C698" s="230"/>
      <c r="D698" s="230"/>
      <c r="E698" s="230"/>
      <c r="F698" s="230"/>
      <c r="G698" s="230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</row>
    <row r="699" ht="15.75" customHeight="1">
      <c r="A699" s="230"/>
      <c r="B699" s="230"/>
      <c r="C699" s="230"/>
      <c r="D699" s="230"/>
      <c r="E699" s="230"/>
      <c r="F699" s="230"/>
      <c r="G699" s="230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</row>
    <row r="700" ht="15.75" customHeight="1">
      <c r="A700" s="230"/>
      <c r="B700" s="230"/>
      <c r="C700" s="230"/>
      <c r="D700" s="230"/>
      <c r="E700" s="230"/>
      <c r="F700" s="230"/>
      <c r="G700" s="23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</row>
    <row r="701" ht="15.75" customHeight="1">
      <c r="A701" s="230"/>
      <c r="B701" s="230"/>
      <c r="C701" s="230"/>
      <c r="D701" s="230"/>
      <c r="E701" s="230"/>
      <c r="F701" s="230"/>
      <c r="G701" s="230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</row>
    <row r="702" ht="15.75" customHeight="1">
      <c r="A702" s="230"/>
      <c r="B702" s="230"/>
      <c r="C702" s="230"/>
      <c r="D702" s="230"/>
      <c r="E702" s="230"/>
      <c r="F702" s="230"/>
      <c r="G702" s="230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</row>
    <row r="703" ht="15.75" customHeight="1">
      <c r="A703" s="230"/>
      <c r="B703" s="230"/>
      <c r="C703" s="230"/>
      <c r="D703" s="230"/>
      <c r="E703" s="230"/>
      <c r="F703" s="230"/>
      <c r="G703" s="230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</row>
    <row r="704" ht="15.75" customHeight="1">
      <c r="A704" s="230"/>
      <c r="B704" s="230"/>
      <c r="C704" s="230"/>
      <c r="D704" s="230"/>
      <c r="E704" s="230"/>
      <c r="F704" s="230"/>
      <c r="G704" s="230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</row>
    <row r="705" ht="15.75" customHeight="1">
      <c r="A705" s="230"/>
      <c r="B705" s="230"/>
      <c r="C705" s="230"/>
      <c r="D705" s="230"/>
      <c r="E705" s="230"/>
      <c r="F705" s="230"/>
      <c r="G705" s="230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</row>
    <row r="706" ht="15.75" customHeight="1">
      <c r="A706" s="230"/>
      <c r="B706" s="230"/>
      <c r="C706" s="230"/>
      <c r="D706" s="230"/>
      <c r="E706" s="230"/>
      <c r="F706" s="230"/>
      <c r="G706" s="230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</row>
    <row r="707" ht="15.75" customHeight="1">
      <c r="A707" s="230"/>
      <c r="B707" s="230"/>
      <c r="C707" s="230"/>
      <c r="D707" s="230"/>
      <c r="E707" s="230"/>
      <c r="F707" s="230"/>
      <c r="G707" s="230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</row>
    <row r="708" ht="15.75" customHeight="1">
      <c r="A708" s="230"/>
      <c r="B708" s="230"/>
      <c r="C708" s="230"/>
      <c r="D708" s="230"/>
      <c r="E708" s="230"/>
      <c r="F708" s="230"/>
      <c r="G708" s="230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</row>
    <row r="709" ht="15.75" customHeight="1">
      <c r="A709" s="230"/>
      <c r="B709" s="230"/>
      <c r="C709" s="230"/>
      <c r="D709" s="230"/>
      <c r="E709" s="230"/>
      <c r="F709" s="230"/>
      <c r="G709" s="230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</row>
    <row r="710" ht="15.75" customHeight="1">
      <c r="A710" s="230"/>
      <c r="B710" s="230"/>
      <c r="C710" s="230"/>
      <c r="D710" s="230"/>
      <c r="E710" s="230"/>
      <c r="F710" s="230"/>
      <c r="G710" s="230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</row>
    <row r="711" ht="15.75" customHeight="1">
      <c r="A711" s="230"/>
      <c r="B711" s="230"/>
      <c r="C711" s="230"/>
      <c r="D711" s="230"/>
      <c r="E711" s="230"/>
      <c r="F711" s="230"/>
      <c r="G711" s="230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</row>
    <row r="712" ht="15.75" customHeight="1">
      <c r="A712" s="230"/>
      <c r="B712" s="230"/>
      <c r="C712" s="230"/>
      <c r="D712" s="230"/>
      <c r="E712" s="230"/>
      <c r="F712" s="230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</row>
    <row r="713" ht="15.75" customHeight="1">
      <c r="A713" s="230"/>
      <c r="B713" s="230"/>
      <c r="C713" s="230"/>
      <c r="D713" s="230"/>
      <c r="E713" s="230"/>
      <c r="F713" s="230"/>
      <c r="G713" s="230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</row>
    <row r="714" ht="15.75" customHeight="1">
      <c r="A714" s="230"/>
      <c r="B714" s="230"/>
      <c r="C714" s="230"/>
      <c r="D714" s="230"/>
      <c r="E714" s="230"/>
      <c r="F714" s="230"/>
      <c r="G714" s="230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</row>
    <row r="715" ht="15.75" customHeight="1">
      <c r="A715" s="230"/>
      <c r="B715" s="230"/>
      <c r="C715" s="230"/>
      <c r="D715" s="230"/>
      <c r="E715" s="230"/>
      <c r="F715" s="230"/>
      <c r="G715" s="230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</row>
    <row r="716" ht="15.75" customHeight="1">
      <c r="A716" s="230"/>
      <c r="B716" s="230"/>
      <c r="C716" s="230"/>
      <c r="D716" s="230"/>
      <c r="E716" s="230"/>
      <c r="F716" s="230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</row>
    <row r="717" ht="15.75" customHeight="1">
      <c r="A717" s="230"/>
      <c r="B717" s="230"/>
      <c r="C717" s="230"/>
      <c r="D717" s="230"/>
      <c r="E717" s="230"/>
      <c r="F717" s="230"/>
      <c r="G717" s="230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</row>
    <row r="718" ht="15.75" customHeight="1">
      <c r="A718" s="230"/>
      <c r="B718" s="230"/>
      <c r="C718" s="230"/>
      <c r="D718" s="230"/>
      <c r="E718" s="230"/>
      <c r="F718" s="230"/>
      <c r="G718" s="230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</row>
    <row r="719" ht="15.75" customHeight="1">
      <c r="A719" s="230"/>
      <c r="B719" s="230"/>
      <c r="C719" s="230"/>
      <c r="D719" s="230"/>
      <c r="E719" s="230"/>
      <c r="F719" s="230"/>
      <c r="G719" s="23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</row>
    <row r="720" ht="15.75" customHeight="1">
      <c r="A720" s="230"/>
      <c r="B720" s="230"/>
      <c r="C720" s="230"/>
      <c r="D720" s="230"/>
      <c r="E720" s="230"/>
      <c r="F720" s="230"/>
      <c r="G720" s="230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</row>
    <row r="721" ht="15.75" customHeight="1">
      <c r="A721" s="230"/>
      <c r="B721" s="230"/>
      <c r="C721" s="230"/>
      <c r="D721" s="230"/>
      <c r="E721" s="230"/>
      <c r="F721" s="230"/>
      <c r="G721" s="230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</row>
    <row r="722" ht="15.75" customHeight="1">
      <c r="A722" s="230"/>
      <c r="B722" s="230"/>
      <c r="C722" s="230"/>
      <c r="D722" s="230"/>
      <c r="E722" s="230"/>
      <c r="F722" s="230"/>
      <c r="G722" s="230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</row>
    <row r="723" ht="15.75" customHeight="1">
      <c r="A723" s="230"/>
      <c r="B723" s="230"/>
      <c r="C723" s="230"/>
      <c r="D723" s="230"/>
      <c r="E723" s="230"/>
      <c r="F723" s="230"/>
      <c r="G723" s="230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</row>
    <row r="724" ht="15.75" customHeight="1">
      <c r="A724" s="230"/>
      <c r="B724" s="230"/>
      <c r="C724" s="230"/>
      <c r="D724" s="230"/>
      <c r="E724" s="230"/>
      <c r="F724" s="230"/>
      <c r="G724" s="230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</row>
    <row r="725" ht="15.75" customHeight="1">
      <c r="A725" s="230"/>
      <c r="B725" s="230"/>
      <c r="C725" s="230"/>
      <c r="D725" s="230"/>
      <c r="E725" s="230"/>
      <c r="F725" s="230"/>
      <c r="G725" s="230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</row>
    <row r="726" ht="15.75" customHeight="1">
      <c r="A726" s="230"/>
      <c r="B726" s="230"/>
      <c r="C726" s="230"/>
      <c r="D726" s="230"/>
      <c r="E726" s="230"/>
      <c r="F726" s="230"/>
      <c r="G726" s="230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</row>
    <row r="727" ht="15.75" customHeight="1">
      <c r="A727" s="230"/>
      <c r="B727" s="230"/>
      <c r="C727" s="230"/>
      <c r="D727" s="230"/>
      <c r="E727" s="230"/>
      <c r="F727" s="230"/>
      <c r="G727" s="230"/>
      <c r="H727" s="230"/>
      <c r="I727" s="230"/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</row>
    <row r="728" ht="15.75" customHeight="1">
      <c r="A728" s="230"/>
      <c r="B728" s="230"/>
      <c r="C728" s="230"/>
      <c r="D728" s="230"/>
      <c r="E728" s="230"/>
      <c r="F728" s="230"/>
      <c r="G728" s="230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</row>
    <row r="729" ht="15.75" customHeight="1">
      <c r="A729" s="230"/>
      <c r="B729" s="230"/>
      <c r="C729" s="230"/>
      <c r="D729" s="230"/>
      <c r="E729" s="230"/>
      <c r="F729" s="230"/>
      <c r="G729" s="230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</row>
    <row r="730" ht="15.75" customHeight="1">
      <c r="A730" s="230"/>
      <c r="B730" s="230"/>
      <c r="C730" s="230"/>
      <c r="D730" s="230"/>
      <c r="E730" s="230"/>
      <c r="F730" s="230"/>
      <c r="G730" s="230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</row>
    <row r="731" ht="15.75" customHeight="1">
      <c r="A731" s="230"/>
      <c r="B731" s="230"/>
      <c r="C731" s="230"/>
      <c r="D731" s="230"/>
      <c r="E731" s="230"/>
      <c r="F731" s="230"/>
      <c r="G731" s="230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</row>
    <row r="732" ht="15.75" customHeight="1">
      <c r="A732" s="230"/>
      <c r="B732" s="230"/>
      <c r="C732" s="230"/>
      <c r="D732" s="230"/>
      <c r="E732" s="230"/>
      <c r="F732" s="230"/>
      <c r="G732" s="230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</row>
    <row r="733" ht="15.75" customHeight="1">
      <c r="A733" s="230"/>
      <c r="B733" s="230"/>
      <c r="C733" s="230"/>
      <c r="D733" s="230"/>
      <c r="E733" s="230"/>
      <c r="F733" s="230"/>
      <c r="G733" s="230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</row>
    <row r="734" ht="15.75" customHeight="1">
      <c r="A734" s="230"/>
      <c r="B734" s="230"/>
      <c r="C734" s="230"/>
      <c r="D734" s="230"/>
      <c r="E734" s="230"/>
      <c r="F734" s="230"/>
      <c r="G734" s="230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</row>
    <row r="735" ht="15.75" customHeight="1">
      <c r="A735" s="230"/>
      <c r="B735" s="230"/>
      <c r="C735" s="230"/>
      <c r="D735" s="230"/>
      <c r="E735" s="230"/>
      <c r="F735" s="230"/>
      <c r="G735" s="230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</row>
    <row r="736" ht="15.75" customHeight="1">
      <c r="A736" s="230"/>
      <c r="B736" s="230"/>
      <c r="C736" s="230"/>
      <c r="D736" s="230"/>
      <c r="E736" s="230"/>
      <c r="F736" s="230"/>
      <c r="G736" s="230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</row>
    <row r="737" ht="15.75" customHeight="1">
      <c r="A737" s="230"/>
      <c r="B737" s="230"/>
      <c r="C737" s="230"/>
      <c r="D737" s="230"/>
      <c r="E737" s="230"/>
      <c r="F737" s="230"/>
      <c r="G737" s="230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</row>
    <row r="738" ht="15.75" customHeight="1">
      <c r="A738" s="230"/>
      <c r="B738" s="230"/>
      <c r="C738" s="230"/>
      <c r="D738" s="230"/>
      <c r="E738" s="230"/>
      <c r="F738" s="230"/>
      <c r="G738" s="230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</row>
    <row r="739" ht="15.75" customHeight="1">
      <c r="A739" s="230"/>
      <c r="B739" s="230"/>
      <c r="C739" s="230"/>
      <c r="D739" s="230"/>
      <c r="E739" s="230"/>
      <c r="F739" s="230"/>
      <c r="G739" s="230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</row>
    <row r="740" ht="15.75" customHeight="1">
      <c r="A740" s="230"/>
      <c r="B740" s="230"/>
      <c r="C740" s="230"/>
      <c r="D740" s="230"/>
      <c r="E740" s="230"/>
      <c r="F740" s="230"/>
      <c r="G740" s="230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</row>
    <row r="741" ht="15.75" customHeight="1">
      <c r="A741" s="230"/>
      <c r="B741" s="230"/>
      <c r="C741" s="230"/>
      <c r="D741" s="230"/>
      <c r="E741" s="230"/>
      <c r="F741" s="230"/>
      <c r="G741" s="230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</row>
    <row r="742" ht="15.75" customHeight="1">
      <c r="A742" s="230"/>
      <c r="B742" s="230"/>
      <c r="C742" s="230"/>
      <c r="D742" s="230"/>
      <c r="E742" s="230"/>
      <c r="F742" s="230"/>
      <c r="G742" s="230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</row>
    <row r="743" ht="15.75" customHeight="1">
      <c r="A743" s="230"/>
      <c r="B743" s="230"/>
      <c r="C743" s="230"/>
      <c r="D743" s="230"/>
      <c r="E743" s="230"/>
      <c r="F743" s="230"/>
      <c r="G743" s="230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</row>
    <row r="744" ht="15.75" customHeight="1">
      <c r="A744" s="230"/>
      <c r="B744" s="230"/>
      <c r="C744" s="230"/>
      <c r="D744" s="230"/>
      <c r="E744" s="230"/>
      <c r="F744" s="230"/>
      <c r="G744" s="230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</row>
    <row r="745" ht="15.75" customHeight="1">
      <c r="A745" s="230"/>
      <c r="B745" s="230"/>
      <c r="C745" s="230"/>
      <c r="D745" s="230"/>
      <c r="E745" s="230"/>
      <c r="F745" s="230"/>
      <c r="G745" s="230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</row>
    <row r="746" ht="15.75" customHeight="1">
      <c r="A746" s="230"/>
      <c r="B746" s="230"/>
      <c r="C746" s="230"/>
      <c r="D746" s="230"/>
      <c r="E746" s="230"/>
      <c r="F746" s="230"/>
      <c r="G746" s="230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</row>
    <row r="747" ht="15.75" customHeight="1">
      <c r="A747" s="230"/>
      <c r="B747" s="230"/>
      <c r="C747" s="230"/>
      <c r="D747" s="230"/>
      <c r="E747" s="230"/>
      <c r="F747" s="230"/>
      <c r="G747" s="230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</row>
    <row r="748" ht="15.75" customHeight="1">
      <c r="A748" s="230"/>
      <c r="B748" s="230"/>
      <c r="C748" s="230"/>
      <c r="D748" s="230"/>
      <c r="E748" s="230"/>
      <c r="F748" s="230"/>
      <c r="G748" s="23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</row>
    <row r="749" ht="15.75" customHeight="1">
      <c r="A749" s="230"/>
      <c r="B749" s="230"/>
      <c r="C749" s="230"/>
      <c r="D749" s="230"/>
      <c r="E749" s="230"/>
      <c r="F749" s="230"/>
      <c r="G749" s="230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</row>
    <row r="750" ht="15.75" customHeight="1">
      <c r="A750" s="230"/>
      <c r="B750" s="230"/>
      <c r="C750" s="230"/>
      <c r="D750" s="230"/>
      <c r="E750" s="230"/>
      <c r="F750" s="230"/>
      <c r="G750" s="230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</row>
    <row r="751" ht="15.75" customHeight="1">
      <c r="A751" s="230"/>
      <c r="B751" s="230"/>
      <c r="C751" s="230"/>
      <c r="D751" s="230"/>
      <c r="E751" s="230"/>
      <c r="F751" s="230"/>
      <c r="G751" s="230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</row>
    <row r="752" ht="15.75" customHeight="1">
      <c r="A752" s="230"/>
      <c r="B752" s="230"/>
      <c r="C752" s="230"/>
      <c r="D752" s="230"/>
      <c r="E752" s="230"/>
      <c r="F752" s="230"/>
      <c r="G752" s="230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</row>
    <row r="753" ht="15.75" customHeight="1">
      <c r="A753" s="230"/>
      <c r="B753" s="230"/>
      <c r="C753" s="230"/>
      <c r="D753" s="230"/>
      <c r="E753" s="230"/>
      <c r="F753" s="230"/>
      <c r="G753" s="230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</row>
    <row r="754" ht="15.75" customHeight="1">
      <c r="A754" s="230"/>
      <c r="B754" s="230"/>
      <c r="C754" s="230"/>
      <c r="D754" s="230"/>
      <c r="E754" s="230"/>
      <c r="F754" s="230"/>
      <c r="G754" s="230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</row>
    <row r="755" ht="15.75" customHeight="1">
      <c r="A755" s="230"/>
      <c r="B755" s="230"/>
      <c r="C755" s="230"/>
      <c r="D755" s="230"/>
      <c r="E755" s="230"/>
      <c r="F755" s="230"/>
      <c r="G755" s="230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</row>
    <row r="756" ht="15.75" customHeight="1">
      <c r="A756" s="230"/>
      <c r="B756" s="230"/>
      <c r="C756" s="230"/>
      <c r="D756" s="230"/>
      <c r="E756" s="230"/>
      <c r="F756" s="230"/>
      <c r="G756" s="230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</row>
    <row r="757" ht="15.75" customHeight="1">
      <c r="A757" s="230"/>
      <c r="B757" s="230"/>
      <c r="C757" s="230"/>
      <c r="D757" s="230"/>
      <c r="E757" s="230"/>
      <c r="F757" s="230"/>
      <c r="G757" s="230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</row>
    <row r="758" ht="15.75" customHeight="1">
      <c r="A758" s="230"/>
      <c r="B758" s="230"/>
      <c r="C758" s="230"/>
      <c r="D758" s="230"/>
      <c r="E758" s="230"/>
      <c r="F758" s="230"/>
      <c r="G758" s="230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</row>
    <row r="759" ht="15.75" customHeight="1">
      <c r="A759" s="230"/>
      <c r="B759" s="230"/>
      <c r="C759" s="230"/>
      <c r="D759" s="230"/>
      <c r="E759" s="230"/>
      <c r="F759" s="230"/>
      <c r="G759" s="230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</row>
    <row r="760" ht="15.75" customHeight="1">
      <c r="A760" s="230"/>
      <c r="B760" s="230"/>
      <c r="C760" s="230"/>
      <c r="D760" s="230"/>
      <c r="E760" s="230"/>
      <c r="F760" s="230"/>
      <c r="G760" s="230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</row>
    <row r="761" ht="15.75" customHeight="1">
      <c r="A761" s="230"/>
      <c r="B761" s="230"/>
      <c r="C761" s="230"/>
      <c r="D761" s="230"/>
      <c r="E761" s="230"/>
      <c r="F761" s="230"/>
      <c r="G761" s="230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</row>
    <row r="762" ht="15.75" customHeight="1">
      <c r="A762" s="230"/>
      <c r="B762" s="230"/>
      <c r="C762" s="230"/>
      <c r="D762" s="230"/>
      <c r="E762" s="230"/>
      <c r="F762" s="230"/>
      <c r="G762" s="230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</row>
    <row r="763" ht="15.75" customHeight="1">
      <c r="A763" s="230"/>
      <c r="B763" s="230"/>
      <c r="C763" s="230"/>
      <c r="D763" s="230"/>
      <c r="E763" s="230"/>
      <c r="F763" s="230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</row>
    <row r="764" ht="15.75" customHeight="1">
      <c r="A764" s="230"/>
      <c r="B764" s="230"/>
      <c r="C764" s="230"/>
      <c r="D764" s="230"/>
      <c r="E764" s="230"/>
      <c r="F764" s="230"/>
      <c r="G764" s="230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</row>
    <row r="765" ht="15.75" customHeight="1">
      <c r="A765" s="230"/>
      <c r="B765" s="230"/>
      <c r="C765" s="230"/>
      <c r="D765" s="230"/>
      <c r="E765" s="230"/>
      <c r="F765" s="230"/>
      <c r="G765" s="230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</row>
    <row r="766" ht="15.75" customHeight="1">
      <c r="A766" s="230"/>
      <c r="B766" s="230"/>
      <c r="C766" s="230"/>
      <c r="D766" s="230"/>
      <c r="E766" s="230"/>
      <c r="F766" s="230"/>
      <c r="G766" s="230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</row>
    <row r="767" ht="15.75" customHeight="1">
      <c r="A767" s="230"/>
      <c r="B767" s="230"/>
      <c r="C767" s="230"/>
      <c r="D767" s="230"/>
      <c r="E767" s="230"/>
      <c r="F767" s="230"/>
      <c r="G767" s="230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</row>
    <row r="768" ht="15.75" customHeight="1">
      <c r="A768" s="230"/>
      <c r="B768" s="230"/>
      <c r="C768" s="230"/>
      <c r="D768" s="230"/>
      <c r="E768" s="230"/>
      <c r="F768" s="230"/>
      <c r="G768" s="230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</row>
    <row r="769" ht="15.75" customHeight="1">
      <c r="A769" s="230"/>
      <c r="B769" s="230"/>
      <c r="C769" s="230"/>
      <c r="D769" s="230"/>
      <c r="E769" s="230"/>
      <c r="F769" s="230"/>
      <c r="G769" s="230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</row>
    <row r="770" ht="15.75" customHeight="1">
      <c r="A770" s="230"/>
      <c r="B770" s="230"/>
      <c r="C770" s="230"/>
      <c r="D770" s="230"/>
      <c r="E770" s="230"/>
      <c r="F770" s="230"/>
      <c r="G770" s="230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</row>
    <row r="771" ht="15.75" customHeight="1">
      <c r="A771" s="230"/>
      <c r="B771" s="230"/>
      <c r="C771" s="230"/>
      <c r="D771" s="230"/>
      <c r="E771" s="230"/>
      <c r="F771" s="230"/>
      <c r="G771" s="230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</row>
    <row r="772" ht="15.75" customHeight="1">
      <c r="A772" s="230"/>
      <c r="B772" s="230"/>
      <c r="C772" s="230"/>
      <c r="D772" s="230"/>
      <c r="E772" s="230"/>
      <c r="F772" s="230"/>
      <c r="G772" s="230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</row>
    <row r="773" ht="15.75" customHeight="1">
      <c r="A773" s="230"/>
      <c r="B773" s="230"/>
      <c r="C773" s="230"/>
      <c r="D773" s="230"/>
      <c r="E773" s="230"/>
      <c r="F773" s="230"/>
      <c r="G773" s="230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</row>
    <row r="774" ht="15.75" customHeight="1">
      <c r="A774" s="230"/>
      <c r="B774" s="230"/>
      <c r="C774" s="230"/>
      <c r="D774" s="230"/>
      <c r="E774" s="230"/>
      <c r="F774" s="230"/>
      <c r="G774" s="230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</row>
    <row r="775" ht="15.75" customHeight="1">
      <c r="A775" s="230"/>
      <c r="B775" s="230"/>
      <c r="C775" s="230"/>
      <c r="D775" s="230"/>
      <c r="E775" s="230"/>
      <c r="F775" s="230"/>
      <c r="G775" s="230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</row>
    <row r="776" ht="15.75" customHeight="1">
      <c r="A776" s="230"/>
      <c r="B776" s="230"/>
      <c r="C776" s="230"/>
      <c r="D776" s="230"/>
      <c r="E776" s="230"/>
      <c r="F776" s="230"/>
      <c r="G776" s="230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</row>
    <row r="777" ht="15.75" customHeight="1">
      <c r="A777" s="230"/>
      <c r="B777" s="230"/>
      <c r="C777" s="230"/>
      <c r="D777" s="230"/>
      <c r="E777" s="230"/>
      <c r="F777" s="230"/>
      <c r="G777" s="230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</row>
    <row r="778" ht="15.75" customHeight="1">
      <c r="A778" s="230"/>
      <c r="B778" s="230"/>
      <c r="C778" s="230"/>
      <c r="D778" s="230"/>
      <c r="E778" s="230"/>
      <c r="F778" s="230"/>
      <c r="G778" s="230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</row>
    <row r="779" ht="15.75" customHeight="1">
      <c r="A779" s="230"/>
      <c r="B779" s="230"/>
      <c r="C779" s="230"/>
      <c r="D779" s="230"/>
      <c r="E779" s="230"/>
      <c r="F779" s="230"/>
      <c r="G779" s="230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</row>
    <row r="780" ht="15.75" customHeight="1">
      <c r="A780" s="230"/>
      <c r="B780" s="230"/>
      <c r="C780" s="230"/>
      <c r="D780" s="230"/>
      <c r="E780" s="230"/>
      <c r="F780" s="230"/>
      <c r="G780" s="230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</row>
    <row r="781" ht="15.75" customHeight="1">
      <c r="A781" s="230"/>
      <c r="B781" s="230"/>
      <c r="C781" s="230"/>
      <c r="D781" s="230"/>
      <c r="E781" s="230"/>
      <c r="F781" s="230"/>
      <c r="G781" s="230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</row>
    <row r="782" ht="15.75" customHeight="1">
      <c r="A782" s="230"/>
      <c r="B782" s="230"/>
      <c r="C782" s="230"/>
      <c r="D782" s="230"/>
      <c r="E782" s="230"/>
      <c r="F782" s="230"/>
      <c r="G782" s="230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</row>
    <row r="783" ht="15.75" customHeight="1">
      <c r="A783" s="230"/>
      <c r="B783" s="230"/>
      <c r="C783" s="230"/>
      <c r="D783" s="230"/>
      <c r="E783" s="230"/>
      <c r="F783" s="230"/>
      <c r="G783" s="230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</row>
    <row r="784" ht="15.75" customHeight="1">
      <c r="A784" s="230"/>
      <c r="B784" s="230"/>
      <c r="C784" s="230"/>
      <c r="D784" s="230"/>
      <c r="E784" s="230"/>
      <c r="F784" s="230"/>
      <c r="G784" s="230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</row>
    <row r="785" ht="15.75" customHeight="1">
      <c r="A785" s="230"/>
      <c r="B785" s="230"/>
      <c r="C785" s="230"/>
      <c r="D785" s="230"/>
      <c r="E785" s="230"/>
      <c r="F785" s="230"/>
      <c r="G785" s="230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</row>
    <row r="786" ht="15.75" customHeight="1">
      <c r="A786" s="230"/>
      <c r="B786" s="230"/>
      <c r="C786" s="230"/>
      <c r="D786" s="230"/>
      <c r="E786" s="230"/>
      <c r="F786" s="230"/>
      <c r="G786" s="230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</row>
    <row r="787" ht="15.75" customHeight="1">
      <c r="A787" s="230"/>
      <c r="B787" s="230"/>
      <c r="C787" s="230"/>
      <c r="D787" s="230"/>
      <c r="E787" s="230"/>
      <c r="F787" s="230"/>
      <c r="G787" s="230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</row>
    <row r="788" ht="15.75" customHeight="1">
      <c r="A788" s="230"/>
      <c r="B788" s="230"/>
      <c r="C788" s="230"/>
      <c r="D788" s="230"/>
      <c r="E788" s="230"/>
      <c r="F788" s="230"/>
      <c r="G788" s="230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</row>
    <row r="789" ht="15.75" customHeight="1">
      <c r="A789" s="230"/>
      <c r="B789" s="230"/>
      <c r="C789" s="230"/>
      <c r="D789" s="230"/>
      <c r="E789" s="230"/>
      <c r="F789" s="230"/>
      <c r="G789" s="230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</row>
    <row r="790" ht="15.75" customHeight="1">
      <c r="A790" s="230"/>
      <c r="B790" s="230"/>
      <c r="C790" s="230"/>
      <c r="D790" s="230"/>
      <c r="E790" s="230"/>
      <c r="F790" s="230"/>
      <c r="G790" s="230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</row>
    <row r="791" ht="15.75" customHeight="1">
      <c r="A791" s="230"/>
      <c r="B791" s="230"/>
      <c r="C791" s="230"/>
      <c r="D791" s="230"/>
      <c r="E791" s="230"/>
      <c r="F791" s="230"/>
      <c r="G791" s="230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</row>
    <row r="792" ht="15.75" customHeight="1">
      <c r="A792" s="230"/>
      <c r="B792" s="230"/>
      <c r="C792" s="230"/>
      <c r="D792" s="230"/>
      <c r="E792" s="230"/>
      <c r="F792" s="230"/>
      <c r="G792" s="230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</row>
    <row r="793" ht="15.75" customHeight="1">
      <c r="A793" s="230"/>
      <c r="B793" s="230"/>
      <c r="C793" s="230"/>
      <c r="D793" s="230"/>
      <c r="E793" s="230"/>
      <c r="F793" s="230"/>
      <c r="G793" s="230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</row>
    <row r="794" ht="15.75" customHeight="1">
      <c r="A794" s="230"/>
      <c r="B794" s="230"/>
      <c r="C794" s="230"/>
      <c r="D794" s="230"/>
      <c r="E794" s="230"/>
      <c r="F794" s="230"/>
      <c r="G794" s="230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</row>
    <row r="795" ht="15.75" customHeight="1">
      <c r="A795" s="230"/>
      <c r="B795" s="230"/>
      <c r="C795" s="230"/>
      <c r="D795" s="230"/>
      <c r="E795" s="230"/>
      <c r="F795" s="230"/>
      <c r="G795" s="230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</row>
    <row r="796" ht="15.75" customHeight="1">
      <c r="A796" s="230"/>
      <c r="B796" s="230"/>
      <c r="C796" s="230"/>
      <c r="D796" s="230"/>
      <c r="E796" s="230"/>
      <c r="F796" s="230"/>
      <c r="G796" s="230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</row>
    <row r="797" ht="15.75" customHeight="1">
      <c r="A797" s="230"/>
      <c r="B797" s="230"/>
      <c r="C797" s="230"/>
      <c r="D797" s="230"/>
      <c r="E797" s="230"/>
      <c r="F797" s="230"/>
      <c r="G797" s="230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</row>
    <row r="798" ht="15.75" customHeight="1">
      <c r="A798" s="230"/>
      <c r="B798" s="230"/>
      <c r="C798" s="230"/>
      <c r="D798" s="230"/>
      <c r="E798" s="230"/>
      <c r="F798" s="230"/>
      <c r="G798" s="230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</row>
    <row r="799" ht="15.75" customHeight="1">
      <c r="A799" s="230"/>
      <c r="B799" s="230"/>
      <c r="C799" s="230"/>
      <c r="D799" s="230"/>
      <c r="E799" s="230"/>
      <c r="F799" s="230"/>
      <c r="G799" s="230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</row>
    <row r="800" ht="15.75" customHeight="1">
      <c r="A800" s="230"/>
      <c r="B800" s="230"/>
      <c r="C800" s="230"/>
      <c r="D800" s="230"/>
      <c r="E800" s="230"/>
      <c r="F800" s="230"/>
      <c r="G800" s="230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</row>
    <row r="801" ht="15.75" customHeight="1">
      <c r="A801" s="230"/>
      <c r="B801" s="230"/>
      <c r="C801" s="230"/>
      <c r="D801" s="230"/>
      <c r="E801" s="230"/>
      <c r="F801" s="230"/>
      <c r="G801" s="230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</row>
    <row r="802" ht="15.75" customHeight="1">
      <c r="A802" s="230"/>
      <c r="B802" s="230"/>
      <c r="C802" s="230"/>
      <c r="D802" s="230"/>
      <c r="E802" s="230"/>
      <c r="F802" s="230"/>
      <c r="G802" s="230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</row>
    <row r="803" ht="15.75" customHeight="1">
      <c r="A803" s="230"/>
      <c r="B803" s="230"/>
      <c r="C803" s="230"/>
      <c r="D803" s="230"/>
      <c r="E803" s="230"/>
      <c r="F803" s="230"/>
      <c r="G803" s="230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</row>
    <row r="804" ht="15.75" customHeight="1">
      <c r="A804" s="230"/>
      <c r="B804" s="230"/>
      <c r="C804" s="230"/>
      <c r="D804" s="230"/>
      <c r="E804" s="230"/>
      <c r="F804" s="230"/>
      <c r="G804" s="230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</row>
    <row r="805" ht="15.75" customHeight="1">
      <c r="A805" s="230"/>
      <c r="B805" s="230"/>
      <c r="C805" s="230"/>
      <c r="D805" s="230"/>
      <c r="E805" s="230"/>
      <c r="F805" s="230"/>
      <c r="G805" s="230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</row>
    <row r="806" ht="15.75" customHeight="1">
      <c r="A806" s="230"/>
      <c r="B806" s="230"/>
      <c r="C806" s="230"/>
      <c r="D806" s="230"/>
      <c r="E806" s="230"/>
      <c r="F806" s="230"/>
      <c r="G806" s="230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</row>
    <row r="807" ht="15.75" customHeight="1">
      <c r="A807" s="230"/>
      <c r="B807" s="230"/>
      <c r="C807" s="230"/>
      <c r="D807" s="230"/>
      <c r="E807" s="230"/>
      <c r="F807" s="230"/>
      <c r="G807" s="230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</row>
    <row r="808" ht="15.75" customHeight="1">
      <c r="A808" s="230"/>
      <c r="B808" s="230"/>
      <c r="C808" s="230"/>
      <c r="D808" s="230"/>
      <c r="E808" s="230"/>
      <c r="F808" s="230"/>
      <c r="G808" s="230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</row>
    <row r="809" ht="15.75" customHeight="1">
      <c r="A809" s="230"/>
      <c r="B809" s="230"/>
      <c r="C809" s="230"/>
      <c r="D809" s="230"/>
      <c r="E809" s="230"/>
      <c r="F809" s="230"/>
      <c r="G809" s="230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</row>
    <row r="810" ht="15.75" customHeight="1">
      <c r="A810" s="230"/>
      <c r="B810" s="230"/>
      <c r="C810" s="230"/>
      <c r="D810" s="230"/>
      <c r="E810" s="230"/>
      <c r="F810" s="230"/>
      <c r="G810" s="230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</row>
    <row r="811" ht="15.75" customHeight="1">
      <c r="A811" s="230"/>
      <c r="B811" s="230"/>
      <c r="C811" s="230"/>
      <c r="D811" s="230"/>
      <c r="E811" s="230"/>
      <c r="F811" s="230"/>
      <c r="G811" s="230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</row>
    <row r="812" ht="15.75" customHeight="1">
      <c r="A812" s="230"/>
      <c r="B812" s="230"/>
      <c r="C812" s="230"/>
      <c r="D812" s="230"/>
      <c r="E812" s="230"/>
      <c r="F812" s="230"/>
      <c r="G812" s="230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</row>
    <row r="813" ht="15.75" customHeight="1">
      <c r="A813" s="230"/>
      <c r="B813" s="230"/>
      <c r="C813" s="230"/>
      <c r="D813" s="230"/>
      <c r="E813" s="230"/>
      <c r="F813" s="230"/>
      <c r="G813" s="230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</row>
    <row r="814" ht="15.75" customHeight="1">
      <c r="A814" s="230"/>
      <c r="B814" s="230"/>
      <c r="C814" s="230"/>
      <c r="D814" s="230"/>
      <c r="E814" s="230"/>
      <c r="F814" s="230"/>
      <c r="G814" s="230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</row>
    <row r="815" ht="15.75" customHeight="1">
      <c r="A815" s="230"/>
      <c r="B815" s="230"/>
      <c r="C815" s="230"/>
      <c r="D815" s="230"/>
      <c r="E815" s="230"/>
      <c r="F815" s="230"/>
      <c r="G815" s="230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</row>
    <row r="816" ht="15.75" customHeight="1">
      <c r="A816" s="230"/>
      <c r="B816" s="230"/>
      <c r="C816" s="230"/>
      <c r="D816" s="230"/>
      <c r="E816" s="230"/>
      <c r="F816" s="230"/>
      <c r="G816" s="230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</row>
    <row r="817" ht="15.75" customHeight="1">
      <c r="A817" s="230"/>
      <c r="B817" s="230"/>
      <c r="C817" s="230"/>
      <c r="D817" s="230"/>
      <c r="E817" s="230"/>
      <c r="F817" s="230"/>
      <c r="G817" s="230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</row>
    <row r="818" ht="15.75" customHeight="1">
      <c r="A818" s="230"/>
      <c r="B818" s="230"/>
      <c r="C818" s="230"/>
      <c r="D818" s="230"/>
      <c r="E818" s="230"/>
      <c r="F818" s="230"/>
      <c r="G818" s="230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</row>
    <row r="819" ht="15.75" customHeight="1">
      <c r="A819" s="230"/>
      <c r="B819" s="230"/>
      <c r="C819" s="230"/>
      <c r="D819" s="230"/>
      <c r="E819" s="230"/>
      <c r="F819" s="230"/>
      <c r="G819" s="23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</row>
    <row r="820" ht="15.75" customHeight="1">
      <c r="A820" s="230"/>
      <c r="B820" s="230"/>
      <c r="C820" s="230"/>
      <c r="D820" s="230"/>
      <c r="E820" s="230"/>
      <c r="F820" s="230"/>
      <c r="G820" s="230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</row>
    <row r="821" ht="15.75" customHeight="1">
      <c r="A821" s="230"/>
      <c r="B821" s="230"/>
      <c r="C821" s="230"/>
      <c r="D821" s="230"/>
      <c r="E821" s="230"/>
      <c r="F821" s="230"/>
      <c r="G821" s="230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</row>
    <row r="822" ht="15.75" customHeight="1">
      <c r="A822" s="230"/>
      <c r="B822" s="230"/>
      <c r="C822" s="230"/>
      <c r="D822" s="230"/>
      <c r="E822" s="230"/>
      <c r="F822" s="230"/>
      <c r="G822" s="230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</row>
    <row r="823" ht="15.75" customHeight="1">
      <c r="A823" s="230"/>
      <c r="B823" s="230"/>
      <c r="C823" s="230"/>
      <c r="D823" s="230"/>
      <c r="E823" s="230"/>
      <c r="F823" s="230"/>
      <c r="G823" s="230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</row>
    <row r="824" ht="15.75" customHeight="1">
      <c r="A824" s="230"/>
      <c r="B824" s="230"/>
      <c r="C824" s="230"/>
      <c r="D824" s="230"/>
      <c r="E824" s="230"/>
      <c r="F824" s="230"/>
      <c r="G824" s="230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</row>
    <row r="825" ht="15.75" customHeight="1">
      <c r="A825" s="230"/>
      <c r="B825" s="230"/>
      <c r="C825" s="230"/>
      <c r="D825" s="230"/>
      <c r="E825" s="230"/>
      <c r="F825" s="230"/>
      <c r="G825" s="230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</row>
    <row r="826" ht="15.75" customHeight="1">
      <c r="A826" s="230"/>
      <c r="B826" s="230"/>
      <c r="C826" s="230"/>
      <c r="D826" s="230"/>
      <c r="E826" s="230"/>
      <c r="F826" s="230"/>
      <c r="G826" s="230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</row>
    <row r="827" ht="15.75" customHeight="1">
      <c r="A827" s="230"/>
      <c r="B827" s="230"/>
      <c r="C827" s="230"/>
      <c r="D827" s="230"/>
      <c r="E827" s="230"/>
      <c r="F827" s="230"/>
      <c r="G827" s="230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</row>
    <row r="828" ht="15.75" customHeight="1">
      <c r="A828" s="230"/>
      <c r="B828" s="230"/>
      <c r="C828" s="230"/>
      <c r="D828" s="230"/>
      <c r="E828" s="230"/>
      <c r="F828" s="230"/>
      <c r="G828" s="230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</row>
    <row r="829" ht="15.75" customHeight="1">
      <c r="A829" s="230"/>
      <c r="B829" s="230"/>
      <c r="C829" s="230"/>
      <c r="D829" s="230"/>
      <c r="E829" s="230"/>
      <c r="F829" s="230"/>
      <c r="G829" s="230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</row>
    <row r="830" ht="15.75" customHeight="1">
      <c r="A830" s="230"/>
      <c r="B830" s="230"/>
      <c r="C830" s="230"/>
      <c r="D830" s="230"/>
      <c r="E830" s="230"/>
      <c r="F830" s="230"/>
      <c r="G830" s="230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</row>
    <row r="831" ht="15.75" customHeight="1">
      <c r="A831" s="230"/>
      <c r="B831" s="230"/>
      <c r="C831" s="230"/>
      <c r="D831" s="230"/>
      <c r="E831" s="230"/>
      <c r="F831" s="230"/>
      <c r="G831" s="230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</row>
    <row r="832" ht="15.75" customHeight="1">
      <c r="A832" s="230"/>
      <c r="B832" s="230"/>
      <c r="C832" s="230"/>
      <c r="D832" s="230"/>
      <c r="E832" s="230"/>
      <c r="F832" s="230"/>
      <c r="G832" s="230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</row>
    <row r="833" ht="15.75" customHeight="1">
      <c r="A833" s="230"/>
      <c r="B833" s="230"/>
      <c r="C833" s="230"/>
      <c r="D833" s="230"/>
      <c r="E833" s="230"/>
      <c r="F833" s="230"/>
      <c r="G833" s="230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</row>
    <row r="834" ht="15.75" customHeight="1">
      <c r="A834" s="230"/>
      <c r="B834" s="230"/>
      <c r="C834" s="230"/>
      <c r="D834" s="230"/>
      <c r="E834" s="230"/>
      <c r="F834" s="230"/>
      <c r="G834" s="230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</row>
    <row r="835" ht="15.75" customHeight="1">
      <c r="A835" s="230"/>
      <c r="B835" s="230"/>
      <c r="C835" s="230"/>
      <c r="D835" s="230"/>
      <c r="E835" s="230"/>
      <c r="F835" s="230"/>
      <c r="G835" s="230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</row>
    <row r="836" ht="15.75" customHeight="1">
      <c r="A836" s="230"/>
      <c r="B836" s="230"/>
      <c r="C836" s="230"/>
      <c r="D836" s="230"/>
      <c r="E836" s="230"/>
      <c r="F836" s="230"/>
      <c r="G836" s="230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</row>
    <row r="837" ht="15.75" customHeight="1">
      <c r="A837" s="230"/>
      <c r="B837" s="230"/>
      <c r="C837" s="230"/>
      <c r="D837" s="230"/>
      <c r="E837" s="230"/>
      <c r="F837" s="230"/>
      <c r="G837" s="230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</row>
    <row r="838" ht="15.75" customHeight="1">
      <c r="A838" s="230"/>
      <c r="B838" s="230"/>
      <c r="C838" s="230"/>
      <c r="D838" s="230"/>
      <c r="E838" s="230"/>
      <c r="F838" s="230"/>
      <c r="G838" s="230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</row>
    <row r="839" ht="15.75" customHeight="1">
      <c r="A839" s="230"/>
      <c r="B839" s="230"/>
      <c r="C839" s="230"/>
      <c r="D839" s="230"/>
      <c r="E839" s="230"/>
      <c r="F839" s="230"/>
      <c r="G839" s="230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</row>
    <row r="840" ht="15.75" customHeight="1">
      <c r="A840" s="230"/>
      <c r="B840" s="230"/>
      <c r="C840" s="230"/>
      <c r="D840" s="230"/>
      <c r="E840" s="230"/>
      <c r="F840" s="230"/>
      <c r="G840" s="230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</row>
    <row r="841" ht="15.75" customHeight="1">
      <c r="A841" s="230"/>
      <c r="B841" s="230"/>
      <c r="C841" s="230"/>
      <c r="D841" s="230"/>
      <c r="E841" s="230"/>
      <c r="F841" s="230"/>
      <c r="G841" s="230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</row>
    <row r="842" ht="15.75" customHeight="1">
      <c r="A842" s="230"/>
      <c r="B842" s="230"/>
      <c r="C842" s="230"/>
      <c r="D842" s="230"/>
      <c r="E842" s="230"/>
      <c r="F842" s="230"/>
      <c r="G842" s="230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</row>
    <row r="843" ht="15.75" customHeight="1">
      <c r="A843" s="230"/>
      <c r="B843" s="230"/>
      <c r="C843" s="230"/>
      <c r="D843" s="230"/>
      <c r="E843" s="230"/>
      <c r="F843" s="230"/>
      <c r="G843" s="230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</row>
    <row r="844" ht="15.75" customHeight="1">
      <c r="A844" s="230"/>
      <c r="B844" s="230"/>
      <c r="C844" s="230"/>
      <c r="D844" s="230"/>
      <c r="E844" s="230"/>
      <c r="F844" s="230"/>
      <c r="G844" s="230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</row>
    <row r="845" ht="15.75" customHeight="1">
      <c r="A845" s="230"/>
      <c r="B845" s="230"/>
      <c r="C845" s="230"/>
      <c r="D845" s="230"/>
      <c r="E845" s="230"/>
      <c r="F845" s="230"/>
      <c r="G845" s="230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</row>
    <row r="846" ht="15.75" customHeight="1">
      <c r="A846" s="230"/>
      <c r="B846" s="230"/>
      <c r="C846" s="230"/>
      <c r="D846" s="230"/>
      <c r="E846" s="230"/>
      <c r="F846" s="230"/>
      <c r="G846" s="230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</row>
    <row r="847" ht="15.75" customHeight="1">
      <c r="A847" s="230"/>
      <c r="B847" s="230"/>
      <c r="C847" s="230"/>
      <c r="D847" s="230"/>
      <c r="E847" s="230"/>
      <c r="F847" s="230"/>
      <c r="G847" s="230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</row>
    <row r="848" ht="15.75" customHeight="1">
      <c r="A848" s="230"/>
      <c r="B848" s="230"/>
      <c r="C848" s="230"/>
      <c r="D848" s="230"/>
      <c r="E848" s="230"/>
      <c r="F848" s="230"/>
      <c r="G848" s="230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</row>
    <row r="849" ht="15.75" customHeight="1">
      <c r="A849" s="230"/>
      <c r="B849" s="230"/>
      <c r="C849" s="230"/>
      <c r="D849" s="230"/>
      <c r="E849" s="230"/>
      <c r="F849" s="230"/>
      <c r="G849" s="230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</row>
    <row r="850" ht="15.75" customHeight="1">
      <c r="A850" s="230"/>
      <c r="B850" s="230"/>
      <c r="C850" s="230"/>
      <c r="D850" s="230"/>
      <c r="E850" s="230"/>
      <c r="F850" s="230"/>
      <c r="G850" s="230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</row>
    <row r="851" ht="15.75" customHeight="1">
      <c r="A851" s="230"/>
      <c r="B851" s="230"/>
      <c r="C851" s="230"/>
      <c r="D851" s="230"/>
      <c r="E851" s="230"/>
      <c r="F851" s="230"/>
      <c r="G851" s="230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</row>
    <row r="852" ht="15.75" customHeight="1">
      <c r="A852" s="230"/>
      <c r="B852" s="230"/>
      <c r="C852" s="230"/>
      <c r="D852" s="230"/>
      <c r="E852" s="230"/>
      <c r="F852" s="230"/>
      <c r="G852" s="230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</row>
    <row r="853" ht="15.75" customHeight="1">
      <c r="A853" s="230"/>
      <c r="B853" s="230"/>
      <c r="C853" s="230"/>
      <c r="D853" s="230"/>
      <c r="E853" s="230"/>
      <c r="F853" s="230"/>
      <c r="G853" s="230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</row>
    <row r="854" ht="15.75" customHeight="1">
      <c r="A854" s="230"/>
      <c r="B854" s="230"/>
      <c r="C854" s="230"/>
      <c r="D854" s="230"/>
      <c r="E854" s="230"/>
      <c r="F854" s="230"/>
      <c r="G854" s="230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</row>
    <row r="855" ht="15.75" customHeight="1">
      <c r="A855" s="230"/>
      <c r="B855" s="230"/>
      <c r="C855" s="230"/>
      <c r="D855" s="230"/>
      <c r="E855" s="230"/>
      <c r="F855" s="230"/>
      <c r="G855" s="230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</row>
    <row r="856" ht="15.75" customHeight="1">
      <c r="A856" s="230"/>
      <c r="B856" s="230"/>
      <c r="C856" s="230"/>
      <c r="D856" s="230"/>
      <c r="E856" s="230"/>
      <c r="F856" s="230"/>
      <c r="G856" s="230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</row>
    <row r="857" ht="15.75" customHeight="1">
      <c r="A857" s="230"/>
      <c r="B857" s="230"/>
      <c r="C857" s="230"/>
      <c r="D857" s="230"/>
      <c r="E857" s="230"/>
      <c r="F857" s="230"/>
      <c r="G857" s="230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</row>
    <row r="858" ht="15.75" customHeight="1">
      <c r="A858" s="230"/>
      <c r="B858" s="230"/>
      <c r="C858" s="230"/>
      <c r="D858" s="230"/>
      <c r="E858" s="230"/>
      <c r="F858" s="230"/>
      <c r="G858" s="230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</row>
    <row r="859" ht="15.75" customHeight="1">
      <c r="A859" s="230"/>
      <c r="B859" s="230"/>
      <c r="C859" s="230"/>
      <c r="D859" s="230"/>
      <c r="E859" s="230"/>
      <c r="F859" s="230"/>
      <c r="G859" s="230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</row>
    <row r="860" ht="15.75" customHeight="1">
      <c r="A860" s="230"/>
      <c r="B860" s="230"/>
      <c r="C860" s="230"/>
      <c r="D860" s="230"/>
      <c r="E860" s="230"/>
      <c r="F860" s="230"/>
      <c r="G860" s="230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</row>
    <row r="861" ht="15.75" customHeight="1">
      <c r="A861" s="230"/>
      <c r="B861" s="230"/>
      <c r="C861" s="230"/>
      <c r="D861" s="230"/>
      <c r="E861" s="230"/>
      <c r="F861" s="230"/>
      <c r="G861" s="230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</row>
    <row r="862" ht="15.75" customHeight="1">
      <c r="A862" s="230"/>
      <c r="B862" s="230"/>
      <c r="C862" s="230"/>
      <c r="D862" s="230"/>
      <c r="E862" s="230"/>
      <c r="F862" s="230"/>
      <c r="G862" s="230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</row>
    <row r="863" ht="15.75" customHeight="1">
      <c r="A863" s="230"/>
      <c r="B863" s="230"/>
      <c r="C863" s="230"/>
      <c r="D863" s="230"/>
      <c r="E863" s="230"/>
      <c r="F863" s="230"/>
      <c r="G863" s="230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</row>
    <row r="864" ht="15.75" customHeight="1">
      <c r="A864" s="230"/>
      <c r="B864" s="230"/>
      <c r="C864" s="230"/>
      <c r="D864" s="230"/>
      <c r="E864" s="230"/>
      <c r="F864" s="230"/>
      <c r="G864" s="230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</row>
    <row r="865" ht="15.75" customHeight="1">
      <c r="A865" s="230"/>
      <c r="B865" s="230"/>
      <c r="C865" s="230"/>
      <c r="D865" s="230"/>
      <c r="E865" s="230"/>
      <c r="F865" s="230"/>
      <c r="G865" s="230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</row>
    <row r="866" ht="15.75" customHeight="1">
      <c r="A866" s="230"/>
      <c r="B866" s="230"/>
      <c r="C866" s="230"/>
      <c r="D866" s="230"/>
      <c r="E866" s="230"/>
      <c r="F866" s="230"/>
      <c r="G866" s="230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</row>
    <row r="867" ht="15.75" customHeight="1">
      <c r="A867" s="230"/>
      <c r="B867" s="230"/>
      <c r="C867" s="230"/>
      <c r="D867" s="230"/>
      <c r="E867" s="230"/>
      <c r="F867" s="230"/>
      <c r="G867" s="230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</row>
    <row r="868" ht="15.75" customHeight="1">
      <c r="A868" s="230"/>
      <c r="B868" s="230"/>
      <c r="C868" s="230"/>
      <c r="D868" s="230"/>
      <c r="E868" s="230"/>
      <c r="F868" s="230"/>
      <c r="G868" s="230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</row>
    <row r="869" ht="15.75" customHeight="1">
      <c r="A869" s="230"/>
      <c r="B869" s="230"/>
      <c r="C869" s="230"/>
      <c r="D869" s="230"/>
      <c r="E869" s="230"/>
      <c r="F869" s="230"/>
      <c r="G869" s="230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</row>
    <row r="870" ht="15.75" customHeight="1">
      <c r="A870" s="230"/>
      <c r="B870" s="230"/>
      <c r="C870" s="230"/>
      <c r="D870" s="230"/>
      <c r="E870" s="230"/>
      <c r="F870" s="230"/>
      <c r="G870" s="230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</row>
    <row r="871" ht="15.75" customHeight="1">
      <c r="A871" s="230"/>
      <c r="B871" s="230"/>
      <c r="C871" s="230"/>
      <c r="D871" s="230"/>
      <c r="E871" s="230"/>
      <c r="F871" s="230"/>
      <c r="G871" s="230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</row>
    <row r="872" ht="15.75" customHeight="1">
      <c r="A872" s="230"/>
      <c r="B872" s="230"/>
      <c r="C872" s="230"/>
      <c r="D872" s="230"/>
      <c r="E872" s="230"/>
      <c r="F872" s="230"/>
      <c r="G872" s="230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</row>
    <row r="873" ht="15.75" customHeight="1">
      <c r="A873" s="230"/>
      <c r="B873" s="230"/>
      <c r="C873" s="230"/>
      <c r="D873" s="230"/>
      <c r="E873" s="230"/>
      <c r="F873" s="230"/>
      <c r="G873" s="230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</row>
    <row r="874" ht="15.75" customHeight="1">
      <c r="A874" s="230"/>
      <c r="B874" s="230"/>
      <c r="C874" s="230"/>
      <c r="D874" s="230"/>
      <c r="E874" s="230"/>
      <c r="F874" s="230"/>
      <c r="G874" s="230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</row>
    <row r="875" ht="15.75" customHeight="1">
      <c r="A875" s="230"/>
      <c r="B875" s="230"/>
      <c r="C875" s="230"/>
      <c r="D875" s="230"/>
      <c r="E875" s="230"/>
      <c r="F875" s="230"/>
      <c r="G875" s="230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</row>
    <row r="876" ht="15.75" customHeight="1">
      <c r="A876" s="230"/>
      <c r="B876" s="230"/>
      <c r="C876" s="230"/>
      <c r="D876" s="230"/>
      <c r="E876" s="230"/>
      <c r="F876" s="230"/>
      <c r="G876" s="230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</row>
    <row r="877" ht="15.75" customHeight="1">
      <c r="A877" s="230"/>
      <c r="B877" s="230"/>
      <c r="C877" s="230"/>
      <c r="D877" s="230"/>
      <c r="E877" s="230"/>
      <c r="F877" s="230"/>
      <c r="G877" s="230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</row>
    <row r="878" ht="15.75" customHeight="1">
      <c r="A878" s="230"/>
      <c r="B878" s="230"/>
      <c r="C878" s="230"/>
      <c r="D878" s="230"/>
      <c r="E878" s="230"/>
      <c r="F878" s="230"/>
      <c r="G878" s="230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</row>
    <row r="879" ht="15.75" customHeight="1">
      <c r="A879" s="230"/>
      <c r="B879" s="230"/>
      <c r="C879" s="230"/>
      <c r="D879" s="230"/>
      <c r="E879" s="230"/>
      <c r="F879" s="230"/>
      <c r="G879" s="230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</row>
    <row r="880" ht="15.75" customHeight="1">
      <c r="A880" s="230"/>
      <c r="B880" s="230"/>
      <c r="C880" s="230"/>
      <c r="D880" s="230"/>
      <c r="E880" s="230"/>
      <c r="F880" s="230"/>
      <c r="G880" s="230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</row>
    <row r="881" ht="15.75" customHeight="1">
      <c r="A881" s="230"/>
      <c r="B881" s="230"/>
      <c r="C881" s="230"/>
      <c r="D881" s="230"/>
      <c r="E881" s="230"/>
      <c r="F881" s="230"/>
      <c r="G881" s="230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</row>
    <row r="882" ht="15.75" customHeight="1">
      <c r="A882" s="230"/>
      <c r="B882" s="230"/>
      <c r="C882" s="230"/>
      <c r="D882" s="230"/>
      <c r="E882" s="230"/>
      <c r="F882" s="230"/>
      <c r="G882" s="230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</row>
    <row r="883" ht="15.75" customHeight="1">
      <c r="A883" s="230"/>
      <c r="B883" s="230"/>
      <c r="C883" s="230"/>
      <c r="D883" s="230"/>
      <c r="E883" s="230"/>
      <c r="F883" s="230"/>
      <c r="G883" s="230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</row>
    <row r="884" ht="15.75" customHeight="1">
      <c r="A884" s="230"/>
      <c r="B884" s="230"/>
      <c r="C884" s="230"/>
      <c r="D884" s="230"/>
      <c r="E884" s="230"/>
      <c r="F884" s="230"/>
      <c r="G884" s="230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</row>
    <row r="885" ht="15.75" customHeight="1">
      <c r="A885" s="230"/>
      <c r="B885" s="230"/>
      <c r="C885" s="230"/>
      <c r="D885" s="230"/>
      <c r="E885" s="230"/>
      <c r="F885" s="230"/>
      <c r="G885" s="230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</row>
    <row r="886" ht="15.75" customHeight="1">
      <c r="A886" s="230"/>
      <c r="B886" s="230"/>
      <c r="C886" s="230"/>
      <c r="D886" s="230"/>
      <c r="E886" s="230"/>
      <c r="F886" s="230"/>
      <c r="G886" s="230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</row>
    <row r="887" ht="15.75" customHeight="1">
      <c r="A887" s="230"/>
      <c r="B887" s="230"/>
      <c r="C887" s="230"/>
      <c r="D887" s="230"/>
      <c r="E887" s="230"/>
      <c r="F887" s="230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</row>
    <row r="888" ht="15.75" customHeight="1">
      <c r="A888" s="230"/>
      <c r="B888" s="230"/>
      <c r="C888" s="230"/>
      <c r="D888" s="230"/>
      <c r="E888" s="230"/>
      <c r="F888" s="230"/>
      <c r="G888" s="230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</row>
    <row r="889" ht="15.75" customHeight="1">
      <c r="A889" s="230"/>
      <c r="B889" s="230"/>
      <c r="C889" s="230"/>
      <c r="D889" s="230"/>
      <c r="E889" s="230"/>
      <c r="F889" s="230"/>
      <c r="G889" s="230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</row>
    <row r="890" ht="15.75" customHeight="1">
      <c r="A890" s="230"/>
      <c r="B890" s="230"/>
      <c r="C890" s="230"/>
      <c r="D890" s="230"/>
      <c r="E890" s="230"/>
      <c r="F890" s="230"/>
      <c r="G890" s="230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</row>
    <row r="891" ht="15.75" customHeight="1">
      <c r="A891" s="230"/>
      <c r="B891" s="230"/>
      <c r="C891" s="230"/>
      <c r="D891" s="230"/>
      <c r="E891" s="230"/>
      <c r="F891" s="230"/>
      <c r="G891" s="230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</row>
    <row r="892" ht="15.75" customHeight="1">
      <c r="A892" s="230"/>
      <c r="B892" s="230"/>
      <c r="C892" s="230"/>
      <c r="D892" s="230"/>
      <c r="E892" s="230"/>
      <c r="F892" s="230"/>
      <c r="G892" s="230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</row>
    <row r="893" ht="15.75" customHeight="1">
      <c r="A893" s="230"/>
      <c r="B893" s="230"/>
      <c r="C893" s="230"/>
      <c r="D893" s="230"/>
      <c r="E893" s="230"/>
      <c r="F893" s="230"/>
      <c r="G893" s="230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</row>
    <row r="894" ht="15.75" customHeight="1">
      <c r="A894" s="230"/>
      <c r="B894" s="230"/>
      <c r="C894" s="230"/>
      <c r="D894" s="230"/>
      <c r="E894" s="230"/>
      <c r="F894" s="230"/>
      <c r="G894" s="230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</row>
    <row r="895" ht="15.75" customHeight="1">
      <c r="A895" s="230"/>
      <c r="B895" s="230"/>
      <c r="C895" s="230"/>
      <c r="D895" s="230"/>
      <c r="E895" s="230"/>
      <c r="F895" s="230"/>
      <c r="G895" s="230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</row>
    <row r="896" ht="15.75" customHeight="1">
      <c r="A896" s="230"/>
      <c r="B896" s="230"/>
      <c r="C896" s="230"/>
      <c r="D896" s="230"/>
      <c r="E896" s="230"/>
      <c r="F896" s="230"/>
      <c r="G896" s="230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</row>
    <row r="897" ht="15.75" customHeight="1">
      <c r="A897" s="230"/>
      <c r="B897" s="230"/>
      <c r="C897" s="230"/>
      <c r="D897" s="230"/>
      <c r="E897" s="230"/>
      <c r="F897" s="230"/>
      <c r="G897" s="230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</row>
    <row r="898" ht="15.75" customHeight="1">
      <c r="A898" s="230"/>
      <c r="B898" s="230"/>
      <c r="C898" s="230"/>
      <c r="D898" s="230"/>
      <c r="E898" s="230"/>
      <c r="F898" s="230"/>
      <c r="G898" s="230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</row>
    <row r="899" ht="15.75" customHeight="1">
      <c r="A899" s="230"/>
      <c r="B899" s="230"/>
      <c r="C899" s="230"/>
      <c r="D899" s="230"/>
      <c r="E899" s="230"/>
      <c r="F899" s="230"/>
      <c r="G899" s="230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</row>
    <row r="900" ht="15.75" customHeight="1">
      <c r="A900" s="230"/>
      <c r="B900" s="230"/>
      <c r="C900" s="230"/>
      <c r="D900" s="230"/>
      <c r="E900" s="230"/>
      <c r="F900" s="230"/>
      <c r="G900" s="230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</row>
    <row r="901" ht="15.75" customHeight="1">
      <c r="A901" s="230"/>
      <c r="B901" s="230"/>
      <c r="C901" s="230"/>
      <c r="D901" s="230"/>
      <c r="E901" s="230"/>
      <c r="F901" s="230"/>
      <c r="G901" s="230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</row>
    <row r="902" ht="15.75" customHeight="1">
      <c r="A902" s="230"/>
      <c r="B902" s="230"/>
      <c r="C902" s="230"/>
      <c r="D902" s="230"/>
      <c r="E902" s="230"/>
      <c r="F902" s="230"/>
      <c r="G902" s="230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</row>
    <row r="903" ht="15.75" customHeight="1">
      <c r="A903" s="230"/>
      <c r="B903" s="230"/>
      <c r="C903" s="230"/>
      <c r="D903" s="230"/>
      <c r="E903" s="230"/>
      <c r="F903" s="230"/>
      <c r="G903" s="230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</row>
    <row r="904" ht="15.75" customHeight="1">
      <c r="A904" s="230"/>
      <c r="B904" s="230"/>
      <c r="C904" s="230"/>
      <c r="D904" s="230"/>
      <c r="E904" s="230"/>
      <c r="F904" s="230"/>
      <c r="G904" s="230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</row>
    <row r="905" ht="15.75" customHeight="1">
      <c r="A905" s="230"/>
      <c r="B905" s="230"/>
      <c r="C905" s="230"/>
      <c r="D905" s="230"/>
      <c r="E905" s="230"/>
      <c r="F905" s="230"/>
      <c r="G905" s="230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</row>
    <row r="906" ht="15.75" customHeight="1">
      <c r="A906" s="230"/>
      <c r="B906" s="230"/>
      <c r="C906" s="230"/>
      <c r="D906" s="230"/>
      <c r="E906" s="230"/>
      <c r="F906" s="230"/>
      <c r="G906" s="230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</row>
    <row r="907" ht="15.75" customHeight="1">
      <c r="A907" s="230"/>
      <c r="B907" s="230"/>
      <c r="C907" s="230"/>
      <c r="D907" s="230"/>
      <c r="E907" s="230"/>
      <c r="F907" s="230"/>
      <c r="G907" s="230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</row>
    <row r="908" ht="15.75" customHeight="1">
      <c r="A908" s="230"/>
      <c r="B908" s="230"/>
      <c r="C908" s="230"/>
      <c r="D908" s="230"/>
      <c r="E908" s="230"/>
      <c r="F908" s="230"/>
      <c r="G908" s="230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</row>
    <row r="909" ht="15.75" customHeight="1">
      <c r="A909" s="230"/>
      <c r="B909" s="230"/>
      <c r="C909" s="230"/>
      <c r="D909" s="230"/>
      <c r="E909" s="230"/>
      <c r="F909" s="230"/>
      <c r="G909" s="230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</row>
    <row r="910" ht="15.75" customHeight="1">
      <c r="A910" s="230"/>
      <c r="B910" s="230"/>
      <c r="C910" s="230"/>
      <c r="D910" s="230"/>
      <c r="E910" s="230"/>
      <c r="F910" s="230"/>
      <c r="G910" s="230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</row>
    <row r="911" ht="15.75" customHeight="1">
      <c r="A911" s="230"/>
      <c r="B911" s="230"/>
      <c r="C911" s="230"/>
      <c r="D911" s="230"/>
      <c r="E911" s="230"/>
      <c r="F911" s="230"/>
      <c r="G911" s="230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</row>
    <row r="912" ht="15.75" customHeight="1">
      <c r="A912" s="230"/>
      <c r="B912" s="230"/>
      <c r="C912" s="230"/>
      <c r="D912" s="230"/>
      <c r="E912" s="230"/>
      <c r="F912" s="230"/>
      <c r="G912" s="230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</row>
    <row r="913" ht="15.75" customHeight="1">
      <c r="A913" s="230"/>
      <c r="B913" s="230"/>
      <c r="C913" s="230"/>
      <c r="D913" s="230"/>
      <c r="E913" s="230"/>
      <c r="F913" s="230"/>
      <c r="G913" s="230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</row>
    <row r="914" ht="15.75" customHeight="1">
      <c r="A914" s="230"/>
      <c r="B914" s="230"/>
      <c r="C914" s="230"/>
      <c r="D914" s="230"/>
      <c r="E914" s="230"/>
      <c r="F914" s="230"/>
      <c r="G914" s="230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</row>
    <row r="915" ht="15.75" customHeight="1">
      <c r="A915" s="230"/>
      <c r="B915" s="230"/>
      <c r="C915" s="230"/>
      <c r="D915" s="230"/>
      <c r="E915" s="230"/>
      <c r="F915" s="230"/>
      <c r="G915" s="230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</row>
    <row r="916" ht="15.75" customHeight="1">
      <c r="A916" s="230"/>
      <c r="B916" s="230"/>
      <c r="C916" s="230"/>
      <c r="D916" s="230"/>
      <c r="E916" s="230"/>
      <c r="F916" s="230"/>
      <c r="G916" s="230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</row>
    <row r="917" ht="15.75" customHeight="1">
      <c r="A917" s="230"/>
      <c r="B917" s="230"/>
      <c r="C917" s="230"/>
      <c r="D917" s="230"/>
      <c r="E917" s="230"/>
      <c r="F917" s="230"/>
      <c r="G917" s="230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</row>
    <row r="918" ht="15.75" customHeight="1">
      <c r="A918" s="230"/>
      <c r="B918" s="230"/>
      <c r="C918" s="230"/>
      <c r="D918" s="230"/>
      <c r="E918" s="230"/>
      <c r="F918" s="230"/>
      <c r="G918" s="230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</row>
    <row r="919" ht="15.75" customHeight="1">
      <c r="A919" s="230"/>
      <c r="B919" s="230"/>
      <c r="C919" s="230"/>
      <c r="D919" s="230"/>
      <c r="E919" s="230"/>
      <c r="F919" s="230"/>
      <c r="G919" s="230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</row>
    <row r="920" ht="15.75" customHeight="1">
      <c r="A920" s="230"/>
      <c r="B920" s="230"/>
      <c r="C920" s="230"/>
      <c r="D920" s="230"/>
      <c r="E920" s="230"/>
      <c r="F920" s="230"/>
      <c r="G920" s="230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</row>
    <row r="921" ht="15.75" customHeight="1">
      <c r="A921" s="230"/>
      <c r="B921" s="230"/>
      <c r="C921" s="230"/>
      <c r="D921" s="230"/>
      <c r="E921" s="230"/>
      <c r="F921" s="230"/>
      <c r="G921" s="230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</row>
    <row r="922" ht="15.75" customHeight="1">
      <c r="A922" s="230"/>
      <c r="B922" s="230"/>
      <c r="C922" s="230"/>
      <c r="D922" s="230"/>
      <c r="E922" s="230"/>
      <c r="F922" s="230"/>
      <c r="G922" s="230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</row>
    <row r="923" ht="15.75" customHeight="1">
      <c r="A923" s="230"/>
      <c r="B923" s="230"/>
      <c r="C923" s="230"/>
      <c r="D923" s="230"/>
      <c r="E923" s="230"/>
      <c r="F923" s="230"/>
      <c r="G923" s="230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</row>
    <row r="924" ht="15.75" customHeight="1">
      <c r="A924" s="230"/>
      <c r="B924" s="230"/>
      <c r="C924" s="230"/>
      <c r="D924" s="230"/>
      <c r="E924" s="230"/>
      <c r="F924" s="230"/>
      <c r="G924" s="230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</row>
    <row r="925" ht="15.75" customHeight="1">
      <c r="A925" s="230"/>
      <c r="B925" s="230"/>
      <c r="C925" s="230"/>
      <c r="D925" s="230"/>
      <c r="E925" s="230"/>
      <c r="F925" s="230"/>
      <c r="G925" s="230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</row>
    <row r="926" ht="15.75" customHeight="1">
      <c r="A926" s="230"/>
      <c r="B926" s="230"/>
      <c r="C926" s="230"/>
      <c r="D926" s="230"/>
      <c r="E926" s="230"/>
      <c r="F926" s="230"/>
      <c r="G926" s="230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</row>
    <row r="927" ht="15.75" customHeight="1">
      <c r="A927" s="230"/>
      <c r="B927" s="230"/>
      <c r="C927" s="230"/>
      <c r="D927" s="230"/>
      <c r="E927" s="230"/>
      <c r="F927" s="230"/>
      <c r="G927" s="230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</row>
    <row r="928" ht="15.75" customHeight="1">
      <c r="A928" s="230"/>
      <c r="B928" s="230"/>
      <c r="C928" s="230"/>
      <c r="D928" s="230"/>
      <c r="E928" s="230"/>
      <c r="F928" s="230"/>
      <c r="G928" s="230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</row>
    <row r="929" ht="15.75" customHeight="1">
      <c r="A929" s="230"/>
      <c r="B929" s="230"/>
      <c r="C929" s="230"/>
      <c r="D929" s="230"/>
      <c r="E929" s="230"/>
      <c r="F929" s="230"/>
      <c r="G929" s="230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</row>
    <row r="930" ht="15.75" customHeight="1">
      <c r="A930" s="230"/>
      <c r="B930" s="230"/>
      <c r="C930" s="230"/>
      <c r="D930" s="230"/>
      <c r="E930" s="230"/>
      <c r="F930" s="230"/>
      <c r="G930" s="230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</row>
    <row r="931" ht="15.75" customHeight="1">
      <c r="A931" s="230"/>
      <c r="B931" s="230"/>
      <c r="C931" s="230"/>
      <c r="D931" s="230"/>
      <c r="E931" s="230"/>
      <c r="F931" s="230"/>
      <c r="G931" s="230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</row>
    <row r="932" ht="15.75" customHeight="1">
      <c r="A932" s="230"/>
      <c r="B932" s="230"/>
      <c r="C932" s="230"/>
      <c r="D932" s="230"/>
      <c r="E932" s="230"/>
      <c r="F932" s="230"/>
      <c r="G932" s="230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</row>
    <row r="933" ht="15.75" customHeight="1">
      <c r="A933" s="230"/>
      <c r="B933" s="230"/>
      <c r="C933" s="230"/>
      <c r="D933" s="230"/>
      <c r="E933" s="230"/>
      <c r="F933" s="230"/>
      <c r="G933" s="230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</row>
    <row r="934" ht="15.75" customHeight="1">
      <c r="A934" s="230"/>
      <c r="B934" s="230"/>
      <c r="C934" s="230"/>
      <c r="D934" s="230"/>
      <c r="E934" s="230"/>
      <c r="F934" s="230"/>
      <c r="G934" s="230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</row>
    <row r="935" ht="15.75" customHeight="1">
      <c r="A935" s="230"/>
      <c r="B935" s="230"/>
      <c r="C935" s="230"/>
      <c r="D935" s="230"/>
      <c r="E935" s="230"/>
      <c r="F935" s="230"/>
      <c r="G935" s="230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</row>
    <row r="936" ht="15.75" customHeight="1">
      <c r="A936" s="230"/>
      <c r="B936" s="230"/>
      <c r="C936" s="230"/>
      <c r="D936" s="230"/>
      <c r="E936" s="230"/>
      <c r="F936" s="230"/>
      <c r="G936" s="230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</row>
    <row r="937" ht="15.75" customHeight="1">
      <c r="A937" s="230"/>
      <c r="B937" s="230"/>
      <c r="C937" s="230"/>
      <c r="D937" s="230"/>
      <c r="E937" s="230"/>
      <c r="F937" s="230"/>
      <c r="G937" s="230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</row>
    <row r="938" ht="15.75" customHeight="1">
      <c r="A938" s="230"/>
      <c r="B938" s="230"/>
      <c r="C938" s="230"/>
      <c r="D938" s="230"/>
      <c r="E938" s="230"/>
      <c r="F938" s="230"/>
      <c r="G938" s="230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</row>
    <row r="939" ht="15.75" customHeight="1">
      <c r="A939" s="230"/>
      <c r="B939" s="230"/>
      <c r="C939" s="230"/>
      <c r="D939" s="230"/>
      <c r="E939" s="230"/>
      <c r="F939" s="230"/>
      <c r="G939" s="230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</row>
    <row r="940" ht="15.75" customHeight="1">
      <c r="A940" s="230"/>
      <c r="B940" s="230"/>
      <c r="C940" s="230"/>
      <c r="D940" s="230"/>
      <c r="E940" s="230"/>
      <c r="F940" s="230"/>
      <c r="G940" s="230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</row>
    <row r="941" ht="15.75" customHeight="1">
      <c r="A941" s="230"/>
      <c r="B941" s="230"/>
      <c r="C941" s="230"/>
      <c r="D941" s="230"/>
      <c r="E941" s="230"/>
      <c r="F941" s="230"/>
      <c r="G941" s="230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</row>
    <row r="942" ht="15.75" customHeight="1">
      <c r="A942" s="230"/>
      <c r="B942" s="230"/>
      <c r="C942" s="230"/>
      <c r="D942" s="230"/>
      <c r="E942" s="230"/>
      <c r="F942" s="230"/>
      <c r="G942" s="230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</row>
    <row r="943" ht="15.75" customHeight="1">
      <c r="A943" s="230"/>
      <c r="B943" s="230"/>
      <c r="C943" s="230"/>
      <c r="D943" s="230"/>
      <c r="E943" s="230"/>
      <c r="F943" s="230"/>
      <c r="G943" s="230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</row>
    <row r="944" ht="15.75" customHeight="1">
      <c r="A944" s="230"/>
      <c r="B944" s="230"/>
      <c r="C944" s="230"/>
      <c r="D944" s="230"/>
      <c r="E944" s="230"/>
      <c r="F944" s="230"/>
      <c r="G944" s="230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</row>
    <row r="945" ht="15.75" customHeight="1">
      <c r="A945" s="230"/>
      <c r="B945" s="230"/>
      <c r="C945" s="230"/>
      <c r="D945" s="230"/>
      <c r="E945" s="230"/>
      <c r="F945" s="230"/>
      <c r="G945" s="230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</row>
    <row r="946" ht="15.75" customHeight="1">
      <c r="A946" s="230"/>
      <c r="B946" s="230"/>
      <c r="C946" s="230"/>
      <c r="D946" s="230"/>
      <c r="E946" s="230"/>
      <c r="F946" s="230"/>
      <c r="G946" s="230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</row>
    <row r="947" ht="15.75" customHeight="1">
      <c r="A947" s="230"/>
      <c r="B947" s="230"/>
      <c r="C947" s="230"/>
      <c r="D947" s="230"/>
      <c r="E947" s="230"/>
      <c r="F947" s="230"/>
      <c r="G947" s="230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</row>
    <row r="948" ht="15.75" customHeight="1">
      <c r="A948" s="230"/>
      <c r="B948" s="230"/>
      <c r="C948" s="230"/>
      <c r="D948" s="230"/>
      <c r="E948" s="230"/>
      <c r="F948" s="230"/>
      <c r="G948" s="230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</row>
    <row r="949" ht="15.75" customHeight="1">
      <c r="A949" s="230"/>
      <c r="B949" s="230"/>
      <c r="C949" s="230"/>
      <c r="D949" s="230"/>
      <c r="E949" s="230"/>
      <c r="F949" s="230"/>
      <c r="G949" s="230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</row>
    <row r="950" ht="15.75" customHeight="1">
      <c r="A950" s="230"/>
      <c r="B950" s="230"/>
      <c r="C950" s="230"/>
      <c r="D950" s="230"/>
      <c r="E950" s="230"/>
      <c r="F950" s="230"/>
      <c r="G950" s="230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</row>
    <row r="951" ht="15.75" customHeight="1">
      <c r="A951" s="230"/>
      <c r="B951" s="230"/>
      <c r="C951" s="230"/>
      <c r="D951" s="230"/>
      <c r="E951" s="230"/>
      <c r="F951" s="230"/>
      <c r="G951" s="230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</row>
    <row r="952" ht="15.75" customHeight="1">
      <c r="A952" s="230"/>
      <c r="B952" s="230"/>
      <c r="C952" s="230"/>
      <c r="D952" s="230"/>
      <c r="E952" s="230"/>
      <c r="F952" s="230"/>
      <c r="G952" s="230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</row>
  </sheetData>
  <mergeCells count="26">
    <mergeCell ref="L3:L6"/>
    <mergeCell ref="M4:M6"/>
    <mergeCell ref="J5:J6"/>
    <mergeCell ref="K5:K6"/>
    <mergeCell ref="M2:N2"/>
    <mergeCell ref="O2:V2"/>
    <mergeCell ref="A3:A6"/>
    <mergeCell ref="C3:E3"/>
    <mergeCell ref="F3:K3"/>
    <mergeCell ref="U3:V3"/>
    <mergeCell ref="N4:N6"/>
    <mergeCell ref="M3:N3"/>
    <mergeCell ref="O3:P3"/>
    <mergeCell ref="Q3:R3"/>
    <mergeCell ref="S3:T3"/>
    <mergeCell ref="B3:B6"/>
    <mergeCell ref="C4:C6"/>
    <mergeCell ref="D4:D6"/>
    <mergeCell ref="E4:E6"/>
    <mergeCell ref="F4:F6"/>
    <mergeCell ref="G4:G6"/>
    <mergeCell ref="H4:K4"/>
    <mergeCell ref="O4:V4"/>
    <mergeCell ref="W4:AD4"/>
    <mergeCell ref="H5:H6"/>
    <mergeCell ref="I5:I6"/>
  </mergeCells>
  <printOptions/>
  <pageMargins bottom="0.35433070866141736" footer="0.0" header="0.0" left="0.31496062992125984" right="0.11811023622047245" top="0.35433070866141736"/>
  <pageSetup fitToHeight="0" paperSize="9" orientation="landscape"/>
  <drawing r:id="rId1"/>
</worksheet>
</file>