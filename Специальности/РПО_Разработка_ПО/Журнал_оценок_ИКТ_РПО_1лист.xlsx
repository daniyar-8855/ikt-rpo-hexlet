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y\Documents\Работа с Claud.Ai\ВСе для ИКТ\Специальности\РПО_Разработка_ПО\"/>
    </mc:Choice>
  </mc:AlternateContent>
  <xr:revisionPtr revIDLastSave="0" documentId="8_{0315C8B7-0151-4BC1-92E4-01CF2AAEC8AB}" xr6:coauthVersionLast="36" xr6:coauthVersionMax="36" xr10:uidLastSave="{00000000-0000-0000-0000-000000000000}"/>
  <bookViews>
    <workbookView xWindow="0" yWindow="0" windowWidth="28800" windowHeight="14145" xr2:uid="{C922DB4F-C801-48B9-BA1B-D48DFD147FD1}"/>
  </bookViews>
  <sheets>
    <sheet name="Ведомость оценок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K29" i="1" l="1"/>
  <c r="BJ29" i="1"/>
  <c r="BI29" i="1"/>
  <c r="BH29" i="1"/>
  <c r="BG29" i="1"/>
  <c r="BF29" i="1"/>
  <c r="BE29" i="1"/>
  <c r="BD29" i="1"/>
  <c r="BC29" i="1"/>
  <c r="BB29" i="1"/>
  <c r="BK28" i="1"/>
  <c r="BJ28" i="1"/>
  <c r="BI28" i="1"/>
  <c r="BH28" i="1"/>
  <c r="BG28" i="1"/>
  <c r="BF28" i="1"/>
  <c r="BE28" i="1"/>
  <c r="BD28" i="1"/>
  <c r="BC28" i="1"/>
  <c r="BB28" i="1"/>
  <c r="BK27" i="1"/>
  <c r="BJ27" i="1"/>
  <c r="BI27" i="1"/>
  <c r="BH27" i="1"/>
  <c r="BG27" i="1"/>
  <c r="BF27" i="1"/>
  <c r="BE27" i="1"/>
  <c r="BD27" i="1"/>
  <c r="BC27" i="1"/>
  <c r="BB27" i="1"/>
  <c r="BK26" i="1"/>
  <c r="BJ26" i="1"/>
  <c r="BI26" i="1"/>
  <c r="BH26" i="1"/>
  <c r="BG26" i="1"/>
  <c r="BF26" i="1"/>
  <c r="BE26" i="1"/>
  <c r="BD26" i="1"/>
  <c r="BC26" i="1"/>
  <c r="BB26" i="1"/>
  <c r="BK25" i="1"/>
  <c r="BJ25" i="1"/>
  <c r="BI25" i="1"/>
  <c r="BH25" i="1"/>
  <c r="BG25" i="1"/>
  <c r="BF25" i="1"/>
  <c r="BE25" i="1"/>
  <c r="BD25" i="1"/>
  <c r="BC25" i="1"/>
  <c r="BB25" i="1"/>
  <c r="BK24" i="1"/>
  <c r="BJ24" i="1"/>
  <c r="BI24" i="1"/>
  <c r="BH24" i="1"/>
  <c r="BG24" i="1"/>
  <c r="BF24" i="1"/>
  <c r="BE24" i="1"/>
  <c r="BD24" i="1"/>
  <c r="BC24" i="1"/>
  <c r="BB24" i="1"/>
  <c r="BK23" i="1"/>
  <c r="BJ23" i="1"/>
  <c r="BI23" i="1"/>
  <c r="BH23" i="1"/>
  <c r="BG23" i="1"/>
  <c r="BF23" i="1"/>
  <c r="BE23" i="1"/>
  <c r="BD23" i="1"/>
  <c r="BC23" i="1"/>
  <c r="BB23" i="1"/>
  <c r="BK22" i="1"/>
  <c r="BJ22" i="1"/>
  <c r="BI22" i="1"/>
  <c r="BH22" i="1"/>
  <c r="BG22" i="1"/>
  <c r="BF22" i="1"/>
  <c r="BE22" i="1"/>
  <c r="BD22" i="1"/>
  <c r="BC22" i="1"/>
  <c r="BB22" i="1"/>
  <c r="BK21" i="1"/>
  <c r="BJ21" i="1"/>
  <c r="BI21" i="1"/>
  <c r="BH21" i="1"/>
  <c r="BG21" i="1"/>
  <c r="BF21" i="1"/>
  <c r="BE21" i="1"/>
  <c r="BD21" i="1"/>
  <c r="BC21" i="1"/>
  <c r="BB21" i="1"/>
  <c r="BK20" i="1"/>
  <c r="BJ20" i="1"/>
  <c r="BI20" i="1"/>
  <c r="BH20" i="1"/>
  <c r="BG20" i="1"/>
  <c r="BF20" i="1"/>
  <c r="BE20" i="1"/>
  <c r="BD20" i="1"/>
  <c r="BC20" i="1"/>
  <c r="BB20" i="1"/>
  <c r="BK19" i="1"/>
  <c r="BJ19" i="1"/>
  <c r="BI19" i="1"/>
  <c r="BH19" i="1"/>
  <c r="BG19" i="1"/>
  <c r="BF19" i="1"/>
  <c r="BE19" i="1"/>
  <c r="BD19" i="1"/>
  <c r="BC19" i="1"/>
  <c r="BB19" i="1"/>
  <c r="BK18" i="1"/>
  <c r="BJ18" i="1"/>
  <c r="BI18" i="1"/>
  <c r="BH18" i="1"/>
  <c r="BG18" i="1"/>
  <c r="BF18" i="1"/>
  <c r="BE18" i="1"/>
  <c r="BD18" i="1"/>
  <c r="BC18" i="1"/>
  <c r="BB18" i="1"/>
  <c r="BK17" i="1"/>
  <c r="BJ17" i="1"/>
  <c r="BI17" i="1"/>
  <c r="BH17" i="1"/>
  <c r="BG17" i="1"/>
  <c r="BF17" i="1"/>
  <c r="BE17" i="1"/>
  <c r="BD17" i="1"/>
  <c r="BC17" i="1"/>
  <c r="BB17" i="1"/>
  <c r="BK16" i="1"/>
  <c r="BJ16" i="1"/>
  <c r="BI16" i="1"/>
  <c r="BH16" i="1"/>
  <c r="BG16" i="1"/>
  <c r="BF16" i="1"/>
  <c r="BE16" i="1"/>
  <c r="BD16" i="1"/>
  <c r="BC16" i="1"/>
  <c r="BB16" i="1"/>
  <c r="BK15" i="1"/>
  <c r="BJ15" i="1"/>
  <c r="BI15" i="1"/>
  <c r="BH15" i="1"/>
  <c r="BG15" i="1"/>
  <c r="BF15" i="1"/>
  <c r="BE15" i="1"/>
  <c r="BD15" i="1"/>
  <c r="BC15" i="1"/>
  <c r="BB15" i="1"/>
  <c r="BK14" i="1"/>
  <c r="BJ14" i="1"/>
  <c r="BI14" i="1"/>
  <c r="BH14" i="1"/>
  <c r="BG14" i="1"/>
  <c r="BF14" i="1"/>
  <c r="BE14" i="1"/>
  <c r="BD14" i="1"/>
  <c r="BC14" i="1"/>
  <c r="BB14" i="1"/>
  <c r="BK13" i="1"/>
  <c r="BJ13" i="1"/>
  <c r="BI13" i="1"/>
  <c r="BH13" i="1"/>
  <c r="BG13" i="1"/>
  <c r="BF13" i="1"/>
  <c r="BE13" i="1"/>
  <c r="BD13" i="1"/>
  <c r="BC13" i="1"/>
  <c r="BB13" i="1"/>
  <c r="BK12" i="1"/>
  <c r="BJ12" i="1"/>
  <c r="BI12" i="1"/>
  <c r="BH12" i="1"/>
  <c r="BG12" i="1"/>
  <c r="BF12" i="1"/>
  <c r="BE12" i="1"/>
  <c r="BD12" i="1"/>
  <c r="BC12" i="1"/>
  <c r="BB12" i="1"/>
  <c r="BK11" i="1"/>
  <c r="BJ11" i="1"/>
  <c r="BI11" i="1"/>
  <c r="BH11" i="1"/>
  <c r="BG11" i="1"/>
  <c r="BF11" i="1"/>
  <c r="BE11" i="1"/>
  <c r="BD11" i="1"/>
  <c r="BC11" i="1"/>
  <c r="BB11" i="1"/>
  <c r="BK10" i="1"/>
  <c r="BJ10" i="1"/>
  <c r="BI10" i="1"/>
  <c r="BH10" i="1"/>
  <c r="BG10" i="1"/>
  <c r="BF10" i="1"/>
  <c r="BE10" i="1"/>
  <c r="BD10" i="1"/>
  <c r="BC10" i="1"/>
  <c r="BB10" i="1"/>
  <c r="BK9" i="1"/>
  <c r="BJ9" i="1"/>
  <c r="BI9" i="1"/>
  <c r="BH9" i="1"/>
  <c r="BG9" i="1"/>
  <c r="BF9" i="1"/>
  <c r="BE9" i="1"/>
  <c r="BD9" i="1"/>
  <c r="BC9" i="1"/>
  <c r="BB9" i="1"/>
  <c r="BK8" i="1"/>
  <c r="BJ8" i="1"/>
  <c r="BI8" i="1"/>
  <c r="BH8" i="1"/>
  <c r="BG8" i="1"/>
  <c r="BF8" i="1"/>
  <c r="BE8" i="1"/>
  <c r="BD8" i="1"/>
  <c r="BC8" i="1"/>
  <c r="BB8" i="1"/>
  <c r="BK7" i="1"/>
  <c r="BJ7" i="1"/>
  <c r="BI7" i="1"/>
  <c r="BH7" i="1"/>
  <c r="BG7" i="1"/>
  <c r="BF7" i="1"/>
  <c r="BE7" i="1"/>
  <c r="BD7" i="1"/>
  <c r="BC7" i="1"/>
  <c r="BB7" i="1"/>
  <c r="BK6" i="1"/>
  <c r="BJ6" i="1"/>
  <c r="BI6" i="1"/>
  <c r="BH6" i="1"/>
  <c r="BG6" i="1"/>
  <c r="BF6" i="1"/>
  <c r="BE6" i="1"/>
  <c r="BD6" i="1"/>
  <c r="BC6" i="1"/>
  <c r="BB6" i="1"/>
  <c r="BK5" i="1"/>
  <c r="BJ5" i="1"/>
  <c r="BI5" i="1"/>
  <c r="BH5" i="1"/>
  <c r="BG5" i="1"/>
  <c r="BF5" i="1"/>
  <c r="BE5" i="1"/>
  <c r="BD5" i="1"/>
  <c r="BC5" i="1"/>
  <c r="BB5" i="1"/>
</calcChain>
</file>

<file path=xl/sharedStrings.xml><?xml version="1.0" encoding="utf-8"?>
<sst xmlns="http://schemas.openxmlformats.org/spreadsheetml/2006/main" count="152" uniqueCount="86">
  <si>
    <t>ЖУРНАЛ УЧЁТА ОЦЕНОК — модуль ИКТ (ООМ 2, 96 ч = 48 пар по 2 ч, зачёт).  Разработчик программного обеспечения (4S06130103).  Группа: ______  Уч.год: 20__/20__</t>
  </si>
  <si>
    <t>Зан.1</t>
  </si>
  <si>
    <t>Зан.2</t>
  </si>
  <si>
    <t>Зан.3</t>
  </si>
  <si>
    <t>Зан.4</t>
  </si>
  <si>
    <t>Зан.5</t>
  </si>
  <si>
    <t>Зан.6</t>
  </si>
  <si>
    <t>Зан.7</t>
  </si>
  <si>
    <t>Зан.8</t>
  </si>
  <si>
    <t>Зан.9</t>
  </si>
  <si>
    <t>Зан.10</t>
  </si>
  <si>
    <t>Зан.11</t>
  </si>
  <si>
    <t>Зан.12</t>
  </si>
  <si>
    <t>Зан.13</t>
  </si>
  <si>
    <t>Зан.14</t>
  </si>
  <si>
    <t>Зан.15</t>
  </si>
  <si>
    <t>Зан.16</t>
  </si>
  <si>
    <t>Зан.17</t>
  </si>
  <si>
    <t>Зан.18</t>
  </si>
  <si>
    <t>Зан.19</t>
  </si>
  <si>
    <t>Зан.20</t>
  </si>
  <si>
    <t>Зан.21</t>
  </si>
  <si>
    <t>Зан.22</t>
  </si>
  <si>
    <t>Зан.23</t>
  </si>
  <si>
    <t>Зан.24</t>
  </si>
  <si>
    <t>Зан.25</t>
  </si>
  <si>
    <t>Зан.26</t>
  </si>
  <si>
    <t>Зан.27</t>
  </si>
  <si>
    <t>Зан.28</t>
  </si>
  <si>
    <t>Зан.29</t>
  </si>
  <si>
    <t>Зан.30</t>
  </si>
  <si>
    <t>Зан.31</t>
  </si>
  <si>
    <t>Зан.32</t>
  </si>
  <si>
    <t>Зан.33</t>
  </si>
  <si>
    <t>Зан.34</t>
  </si>
  <si>
    <t>Зан.35</t>
  </si>
  <si>
    <t>Зан.36</t>
  </si>
  <si>
    <t>Зан.37</t>
  </si>
  <si>
    <t>Зан.38</t>
  </si>
  <si>
    <t>Зан.39</t>
  </si>
  <si>
    <t>СРС</t>
  </si>
  <si>
    <t>ИТОГ (считается автоматически)</t>
  </si>
  <si>
    <t>Тип (Т/П/Пр/С) →</t>
  </si>
  <si>
    <t>№</t>
  </si>
  <si>
    <t>ФИО студента</t>
  </si>
  <si>
    <t>Т</t>
  </si>
  <si>
    <t>П</t>
  </si>
  <si>
    <t>Пр</t>
  </si>
  <si>
    <t>С</t>
  </si>
  <si>
    <t>СРС РО1</t>
  </si>
  <si>
    <t>СРС РО2</t>
  </si>
  <si>
    <t>СРС РО3</t>
  </si>
  <si>
    <t>Тесты %</t>
  </si>
  <si>
    <t>Практика %</t>
  </si>
  <si>
    <t>СРС %</t>
  </si>
  <si>
    <t>Проект %</t>
  </si>
  <si>
    <t>ИТОГ %</t>
  </si>
  <si>
    <t>Буква</t>
  </si>
  <si>
    <t>GPA</t>
  </si>
  <si>
    <t>5-балл</t>
  </si>
  <si>
    <t>Зачёт</t>
  </si>
  <si>
    <t>Рейтинг допуска %</t>
  </si>
  <si>
    <t>Порог %</t>
  </si>
  <si>
    <t>Традиционно</t>
  </si>
  <si>
    <t>Итог</t>
  </si>
  <si>
    <t>F</t>
  </si>
  <si>
    <t>Неудовлетворительно</t>
  </si>
  <si>
    <t>незачёт</t>
  </si>
  <si>
    <t>D</t>
  </si>
  <si>
    <t>Удовлетворительно</t>
  </si>
  <si>
    <t>зачёт</t>
  </si>
  <si>
    <t>D+</t>
  </si>
  <si>
    <t>C-</t>
  </si>
  <si>
    <t>C</t>
  </si>
  <si>
    <t>C+</t>
  </si>
  <si>
    <t>B-</t>
  </si>
  <si>
    <t>Хорошо</t>
  </si>
  <si>
    <t>B</t>
  </si>
  <si>
    <t>B+</t>
  </si>
  <si>
    <t>A-</t>
  </si>
  <si>
    <t>Отлично</t>
  </si>
  <si>
    <t>A</t>
  </si>
  <si>
    <t>СТОЛБЦЫ = ПАРЫ (1 дата = 2 ч). Строка 2 — № занятия (одно занятие может идти 1–3 пары). Строка 3 — ТИП пары. Строка 4 — ДАТА (впишите). С 5-й строки — оценки студентов.</t>
  </si>
  <si>
    <t>ТИП: Т — тест/опрос (вес 20 %), П — практика с устной защитой (40 %), С — СРС (15 %), Пр — итоговый проект/защита, зан. 38–39 (25 %). Тип можно менять — расчёт пересчитается.</t>
  </si>
  <si>
    <t>Оценка 0–100 в день занятия; пропуск — буква «н». Итог справа (%→буква A–F/GPA/5-балл/зачёт) считается сам. Порог зачёта — 50 %.</t>
  </si>
  <si>
    <t>Основа: приказы МОН/МП РК рег. № 5191 (правила ТиПО) и № 33330 (Приложение 14). AI-устойчивость: практика и проект — только с устной защитой.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</si>
</sst>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FFC07-2462-43BD-9F9A-1CE4E5E8BA2C}">
  <dimension ref="A1:BS35"/>
  <sheetViews>
    <sheetView tabSelected="1" workbookViewId="0">
      <pane xSplit="2" ySplit="4" topLeftCell="C5" activePane="bottomRight" state="frozenSplit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4.7109375" customWidth="1"/>
    <col min="2" max="2" width="30.7109375" customWidth="1"/>
    <col min="3" max="53" width="5.7109375" customWidth="1"/>
    <col min="54" max="63" width="10.28515625" customWidth="1"/>
    <col min="66" max="71" width="12.7109375" customWidth="1"/>
  </cols>
  <sheetData>
    <row r="1" spans="1:71" ht="15.75" x14ac:dyDescent="0.25">
      <c r="A1" s="2" t="s">
        <v>0</v>
      </c>
    </row>
    <row r="2" spans="1:71" x14ac:dyDescent="0.25"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3" t="s">
        <v>22</v>
      </c>
      <c r="Y2" s="3" t="s">
        <v>23</v>
      </c>
      <c r="Z2" s="3" t="s">
        <v>24</v>
      </c>
      <c r="AA2" s="3" t="s">
        <v>25</v>
      </c>
      <c r="AB2" s="4" t="s">
        <v>26</v>
      </c>
      <c r="AC2" s="5"/>
      <c r="AD2" s="5"/>
      <c r="AE2" s="4" t="s">
        <v>27</v>
      </c>
      <c r="AF2" s="5"/>
      <c r="AG2" s="4" t="s">
        <v>28</v>
      </c>
      <c r="AH2" s="5"/>
      <c r="AI2" s="4" t="s">
        <v>29</v>
      </c>
      <c r="AJ2" s="5"/>
      <c r="AK2" s="5"/>
      <c r="AL2" s="4" t="s">
        <v>30</v>
      </c>
      <c r="AM2" s="5"/>
      <c r="AN2" s="3" t="s">
        <v>31</v>
      </c>
      <c r="AO2" s="3" t="s">
        <v>32</v>
      </c>
      <c r="AP2" s="3" t="s">
        <v>33</v>
      </c>
      <c r="AQ2" s="4" t="s">
        <v>34</v>
      </c>
      <c r="AR2" s="5"/>
      <c r="AS2" s="4" t="s">
        <v>35</v>
      </c>
      <c r="AT2" s="5"/>
      <c r="AU2" s="3" t="s">
        <v>36</v>
      </c>
      <c r="AV2" s="3" t="s">
        <v>37</v>
      </c>
      <c r="AW2" s="3" t="s">
        <v>38</v>
      </c>
      <c r="AX2" s="3" t="s">
        <v>39</v>
      </c>
      <c r="AY2" s="4" t="s">
        <v>40</v>
      </c>
      <c r="AZ2" s="5"/>
      <c r="BA2" s="5"/>
      <c r="BB2" s="4" t="s">
        <v>41</v>
      </c>
      <c r="BC2" s="5"/>
      <c r="BD2" s="5"/>
      <c r="BE2" s="5"/>
      <c r="BF2" s="5"/>
      <c r="BG2" s="5"/>
      <c r="BH2" s="5"/>
      <c r="BI2" s="5"/>
      <c r="BJ2" s="5"/>
      <c r="BK2" s="5"/>
    </row>
    <row r="3" spans="1:71" x14ac:dyDescent="0.25">
      <c r="B3" t="s">
        <v>42</v>
      </c>
      <c r="C3" s="1" t="s">
        <v>45</v>
      </c>
      <c r="D3" s="1" t="s">
        <v>45</v>
      </c>
      <c r="E3" s="1" t="s">
        <v>46</v>
      </c>
      <c r="F3" s="1" t="s">
        <v>46</v>
      </c>
      <c r="G3" s="1" t="s">
        <v>46</v>
      </c>
      <c r="H3" s="1" t="s">
        <v>46</v>
      </c>
      <c r="I3" s="1" t="s">
        <v>46</v>
      </c>
      <c r="J3" s="1" t="s">
        <v>46</v>
      </c>
      <c r="K3" s="1" t="s">
        <v>46</v>
      </c>
      <c r="L3" s="1" t="s">
        <v>45</v>
      </c>
      <c r="M3" s="1" t="s">
        <v>46</v>
      </c>
      <c r="N3" s="1" t="s">
        <v>46</v>
      </c>
      <c r="O3" s="1" t="s">
        <v>45</v>
      </c>
      <c r="P3" s="1" t="s">
        <v>46</v>
      </c>
      <c r="Q3" s="1" t="s">
        <v>46</v>
      </c>
      <c r="R3" s="1" t="s">
        <v>46</v>
      </c>
      <c r="S3" s="1" t="s">
        <v>46</v>
      </c>
      <c r="T3" s="1" t="s">
        <v>46</v>
      </c>
      <c r="U3" s="1" t="s">
        <v>46</v>
      </c>
      <c r="V3" s="1" t="s">
        <v>46</v>
      </c>
      <c r="W3" s="1" t="s">
        <v>46</v>
      </c>
      <c r="X3" s="1" t="s">
        <v>46</v>
      </c>
      <c r="Y3" s="1" t="s">
        <v>46</v>
      </c>
      <c r="Z3" s="1" t="s">
        <v>46</v>
      </c>
      <c r="AA3" s="1" t="s">
        <v>45</v>
      </c>
      <c r="AB3" s="1" t="s">
        <v>46</v>
      </c>
      <c r="AC3" s="1" t="s">
        <v>46</v>
      </c>
      <c r="AD3" s="1" t="s">
        <v>46</v>
      </c>
      <c r="AE3" s="1" t="s">
        <v>46</v>
      </c>
      <c r="AF3" s="1" t="s">
        <v>46</v>
      </c>
      <c r="AG3" s="1" t="s">
        <v>46</v>
      </c>
      <c r="AH3" s="1" t="s">
        <v>46</v>
      </c>
      <c r="AI3" s="1" t="s">
        <v>46</v>
      </c>
      <c r="AJ3" s="1" t="s">
        <v>46</v>
      </c>
      <c r="AK3" s="1" t="s">
        <v>46</v>
      </c>
      <c r="AL3" s="1" t="s">
        <v>46</v>
      </c>
      <c r="AM3" s="1" t="s">
        <v>46</v>
      </c>
      <c r="AN3" s="1" t="s">
        <v>46</v>
      </c>
      <c r="AO3" s="1" t="s">
        <v>46</v>
      </c>
      <c r="AP3" s="1" t="s">
        <v>46</v>
      </c>
      <c r="AQ3" s="1" t="s">
        <v>46</v>
      </c>
      <c r="AR3" s="1" t="s">
        <v>46</v>
      </c>
      <c r="AS3" s="1" t="s">
        <v>46</v>
      </c>
      <c r="AT3" s="1" t="s">
        <v>46</v>
      </c>
      <c r="AU3" s="1" t="s">
        <v>45</v>
      </c>
      <c r="AV3" s="1" t="s">
        <v>45</v>
      </c>
      <c r="AW3" s="1" t="s">
        <v>47</v>
      </c>
      <c r="AX3" s="1" t="s">
        <v>47</v>
      </c>
      <c r="AY3" s="1" t="s">
        <v>48</v>
      </c>
      <c r="AZ3" s="1" t="s">
        <v>48</v>
      </c>
      <c r="BA3" s="1" t="s">
        <v>48</v>
      </c>
    </row>
    <row r="4" spans="1:71" x14ac:dyDescent="0.25">
      <c r="A4" s="1" t="s">
        <v>43</v>
      </c>
      <c r="B4" s="1" t="s">
        <v>44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 t="s">
        <v>49</v>
      </c>
      <c r="AZ4" s="1" t="s">
        <v>50</v>
      </c>
      <c r="BA4" s="1" t="s">
        <v>51</v>
      </c>
      <c r="BB4" s="1" t="s">
        <v>52</v>
      </c>
      <c r="BC4" s="1" t="s">
        <v>53</v>
      </c>
      <c r="BD4" s="1" t="s">
        <v>54</v>
      </c>
      <c r="BE4" s="1" t="s">
        <v>55</v>
      </c>
      <c r="BF4" s="1" t="s">
        <v>56</v>
      </c>
      <c r="BG4" s="1" t="s">
        <v>57</v>
      </c>
      <c r="BH4" s="1" t="s">
        <v>58</v>
      </c>
      <c r="BI4" s="1" t="s">
        <v>59</v>
      </c>
      <c r="BJ4" s="1" t="s">
        <v>60</v>
      </c>
      <c r="BK4" s="1" t="s">
        <v>61</v>
      </c>
      <c r="BN4" s="1" t="s">
        <v>62</v>
      </c>
      <c r="BO4" s="1" t="s">
        <v>57</v>
      </c>
      <c r="BP4" s="1" t="s">
        <v>58</v>
      </c>
      <c r="BQ4" s="1" t="s">
        <v>59</v>
      </c>
      <c r="BR4" s="1" t="s">
        <v>63</v>
      </c>
      <c r="BS4" s="1" t="s">
        <v>64</v>
      </c>
    </row>
    <row r="5" spans="1:71" x14ac:dyDescent="0.25">
      <c r="A5">
        <v>1</v>
      </c>
      <c r="BB5" t="str">
        <f>IFERROR(AVERAGEIF($C$3:$BA$3,"Т",C5:BA5),"")</f>
        <v/>
      </c>
      <c r="BC5" t="str">
        <f>IFERROR(AVERAGEIF($C$3:$BA$3,"П",C5:BA5),"")</f>
        <v/>
      </c>
      <c r="BD5" t="str">
        <f>IFERROR(AVERAGEIF($C$3:$BA$3,"С",C5:BA5),"")</f>
        <v/>
      </c>
      <c r="BE5" t="str">
        <f>IFERROR(AVERAGEIF($C$3:$BA$3,"Пр",C5:BA5),"")</f>
        <v/>
      </c>
      <c r="BF5">
        <f>0.2*N(BB5)+0.4*N(BC5)+0.15*N(BD5)+0.25*N(BE5)</f>
        <v>0</v>
      </c>
      <c r="BG5" t="str">
        <f>IFERROR(VLOOKUP(BF5,$BN$5:$BS$15,2,TRUE),"")</f>
        <v>F</v>
      </c>
      <c r="BH5">
        <f>IFERROR(VLOOKUP(BF5,$BN$5:$BS$15,3,TRUE),"")</f>
        <v>0</v>
      </c>
      <c r="BI5">
        <f>IFERROR(VLOOKUP(BF5,$BN$5:$BS$15,4,TRUE),"")</f>
        <v>2</v>
      </c>
      <c r="BJ5" t="str">
        <f>IF(BF5&gt;=50,"зачёт","незачёт")</f>
        <v>незачёт</v>
      </c>
      <c r="BK5">
        <f>IFERROR((0.2*N(BB5)+0.4*N(BC5)+0.15*N(BD5))/0.75,"")</f>
        <v>0</v>
      </c>
      <c r="BN5">
        <v>0</v>
      </c>
      <c r="BO5" t="s">
        <v>65</v>
      </c>
      <c r="BP5">
        <v>0</v>
      </c>
      <c r="BQ5">
        <v>2</v>
      </c>
      <c r="BR5" t="s">
        <v>66</v>
      </c>
      <c r="BS5" t="s">
        <v>67</v>
      </c>
    </row>
    <row r="6" spans="1:71" x14ac:dyDescent="0.25">
      <c r="A6">
        <v>2</v>
      </c>
      <c r="BB6" t="str">
        <f>IFERROR(AVERAGEIF($C$3:$BA$3,"Т",C6:BA6),"")</f>
        <v/>
      </c>
      <c r="BC6" t="str">
        <f>IFERROR(AVERAGEIF($C$3:$BA$3,"П",C6:BA6),"")</f>
        <v/>
      </c>
      <c r="BD6" t="str">
        <f>IFERROR(AVERAGEIF($C$3:$BA$3,"С",C6:BA6),"")</f>
        <v/>
      </c>
      <c r="BE6" t="str">
        <f>IFERROR(AVERAGEIF($C$3:$BA$3,"Пр",C6:BA6),"")</f>
        <v/>
      </c>
      <c r="BF6">
        <f>0.2*N(BB6)+0.4*N(BC6)+0.15*N(BD6)+0.25*N(BE6)</f>
        <v>0</v>
      </c>
      <c r="BG6" t="str">
        <f>IFERROR(VLOOKUP(BF6,$BN$5:$BS$15,2,TRUE),"")</f>
        <v>F</v>
      </c>
      <c r="BH6">
        <f>IFERROR(VLOOKUP(BF6,$BN$5:$BS$15,3,TRUE),"")</f>
        <v>0</v>
      </c>
      <c r="BI6">
        <f>IFERROR(VLOOKUP(BF6,$BN$5:$BS$15,4,TRUE),"")</f>
        <v>2</v>
      </c>
      <c r="BJ6" t="str">
        <f>IF(BF6&gt;=50,"зачёт","незачёт")</f>
        <v>незачёт</v>
      </c>
      <c r="BK6">
        <f>IFERROR((0.2*N(BB6)+0.4*N(BC6)+0.15*N(BD6))/0.75,"")</f>
        <v>0</v>
      </c>
      <c r="BN6">
        <v>50</v>
      </c>
      <c r="BO6" t="s">
        <v>68</v>
      </c>
      <c r="BP6">
        <v>1</v>
      </c>
      <c r="BQ6">
        <v>3</v>
      </c>
      <c r="BR6" t="s">
        <v>69</v>
      </c>
      <c r="BS6" t="s">
        <v>70</v>
      </c>
    </row>
    <row r="7" spans="1:71" x14ac:dyDescent="0.25">
      <c r="A7">
        <v>3</v>
      </c>
      <c r="BB7" t="str">
        <f>IFERROR(AVERAGEIF($C$3:$BA$3,"Т",C7:BA7),"")</f>
        <v/>
      </c>
      <c r="BC7" t="str">
        <f>IFERROR(AVERAGEIF($C$3:$BA$3,"П",C7:BA7),"")</f>
        <v/>
      </c>
      <c r="BD7" t="str">
        <f>IFERROR(AVERAGEIF($C$3:$BA$3,"С",C7:BA7),"")</f>
        <v/>
      </c>
      <c r="BE7" t="str">
        <f>IFERROR(AVERAGEIF($C$3:$BA$3,"Пр",C7:BA7),"")</f>
        <v/>
      </c>
      <c r="BF7">
        <f>0.2*N(BB7)+0.4*N(BC7)+0.15*N(BD7)+0.25*N(BE7)</f>
        <v>0</v>
      </c>
      <c r="BG7" t="str">
        <f>IFERROR(VLOOKUP(BF7,$BN$5:$BS$15,2,TRUE),"")</f>
        <v>F</v>
      </c>
      <c r="BH7">
        <f>IFERROR(VLOOKUP(BF7,$BN$5:$BS$15,3,TRUE),"")</f>
        <v>0</v>
      </c>
      <c r="BI7">
        <f>IFERROR(VLOOKUP(BF7,$BN$5:$BS$15,4,TRUE),"")</f>
        <v>2</v>
      </c>
      <c r="BJ7" t="str">
        <f>IF(BF7&gt;=50,"зачёт","незачёт")</f>
        <v>незачёт</v>
      </c>
      <c r="BK7">
        <f>IFERROR((0.2*N(BB7)+0.4*N(BC7)+0.15*N(BD7))/0.75,"")</f>
        <v>0</v>
      </c>
      <c r="BN7">
        <v>55</v>
      </c>
      <c r="BO7" t="s">
        <v>71</v>
      </c>
      <c r="BP7">
        <v>1.33</v>
      </c>
      <c r="BQ7">
        <v>3</v>
      </c>
      <c r="BR7" t="s">
        <v>69</v>
      </c>
      <c r="BS7" t="s">
        <v>70</v>
      </c>
    </row>
    <row r="8" spans="1:71" x14ac:dyDescent="0.25">
      <c r="A8">
        <v>4</v>
      </c>
      <c r="BB8" t="str">
        <f>IFERROR(AVERAGEIF($C$3:$BA$3,"Т",C8:BA8),"")</f>
        <v/>
      </c>
      <c r="BC8" t="str">
        <f>IFERROR(AVERAGEIF($C$3:$BA$3,"П",C8:BA8),"")</f>
        <v/>
      </c>
      <c r="BD8" t="str">
        <f>IFERROR(AVERAGEIF($C$3:$BA$3,"С",C8:BA8),"")</f>
        <v/>
      </c>
      <c r="BE8" t="str">
        <f>IFERROR(AVERAGEIF($C$3:$BA$3,"Пр",C8:BA8),"")</f>
        <v/>
      </c>
      <c r="BF8">
        <f>0.2*N(BB8)+0.4*N(BC8)+0.15*N(BD8)+0.25*N(BE8)</f>
        <v>0</v>
      </c>
      <c r="BG8" t="str">
        <f>IFERROR(VLOOKUP(BF8,$BN$5:$BS$15,2,TRUE),"")</f>
        <v>F</v>
      </c>
      <c r="BH8">
        <f>IFERROR(VLOOKUP(BF8,$BN$5:$BS$15,3,TRUE),"")</f>
        <v>0</v>
      </c>
      <c r="BI8">
        <f>IFERROR(VLOOKUP(BF8,$BN$5:$BS$15,4,TRUE),"")</f>
        <v>2</v>
      </c>
      <c r="BJ8" t="str">
        <f>IF(BF8&gt;=50,"зачёт","незачёт")</f>
        <v>незачёт</v>
      </c>
      <c r="BK8">
        <f>IFERROR((0.2*N(BB8)+0.4*N(BC8)+0.15*N(BD8))/0.75,"")</f>
        <v>0</v>
      </c>
      <c r="BN8">
        <v>60</v>
      </c>
      <c r="BO8" t="s">
        <v>72</v>
      </c>
      <c r="BP8">
        <v>1.67</v>
      </c>
      <c r="BQ8">
        <v>3</v>
      </c>
      <c r="BR8" t="s">
        <v>69</v>
      </c>
      <c r="BS8" t="s">
        <v>70</v>
      </c>
    </row>
    <row r="9" spans="1:71" x14ac:dyDescent="0.25">
      <c r="A9">
        <v>5</v>
      </c>
      <c r="BB9" t="str">
        <f>IFERROR(AVERAGEIF($C$3:$BA$3,"Т",C9:BA9),"")</f>
        <v/>
      </c>
      <c r="BC9" t="str">
        <f>IFERROR(AVERAGEIF($C$3:$BA$3,"П",C9:BA9),"")</f>
        <v/>
      </c>
      <c r="BD9" t="str">
        <f>IFERROR(AVERAGEIF($C$3:$BA$3,"С",C9:BA9),"")</f>
        <v/>
      </c>
      <c r="BE9" t="str">
        <f>IFERROR(AVERAGEIF($C$3:$BA$3,"Пр",C9:BA9),"")</f>
        <v/>
      </c>
      <c r="BF9">
        <f>0.2*N(BB9)+0.4*N(BC9)+0.15*N(BD9)+0.25*N(BE9)</f>
        <v>0</v>
      </c>
      <c r="BG9" t="str">
        <f>IFERROR(VLOOKUP(BF9,$BN$5:$BS$15,2,TRUE),"")</f>
        <v>F</v>
      </c>
      <c r="BH9">
        <f>IFERROR(VLOOKUP(BF9,$BN$5:$BS$15,3,TRUE),"")</f>
        <v>0</v>
      </c>
      <c r="BI9">
        <f>IFERROR(VLOOKUP(BF9,$BN$5:$BS$15,4,TRUE),"")</f>
        <v>2</v>
      </c>
      <c r="BJ9" t="str">
        <f>IF(BF9&gt;=50,"зачёт","незачёт")</f>
        <v>незачёт</v>
      </c>
      <c r="BK9">
        <f>IFERROR((0.2*N(BB9)+0.4*N(BC9)+0.15*N(BD9))/0.75,"")</f>
        <v>0</v>
      </c>
      <c r="BN9">
        <v>65</v>
      </c>
      <c r="BO9" t="s">
        <v>73</v>
      </c>
      <c r="BP9">
        <v>2</v>
      </c>
      <c r="BQ9">
        <v>3</v>
      </c>
      <c r="BR9" t="s">
        <v>69</v>
      </c>
      <c r="BS9" t="s">
        <v>70</v>
      </c>
    </row>
    <row r="10" spans="1:71" x14ac:dyDescent="0.25">
      <c r="A10">
        <v>6</v>
      </c>
      <c r="BB10" t="str">
        <f>IFERROR(AVERAGEIF($C$3:$BA$3,"Т",C10:BA10),"")</f>
        <v/>
      </c>
      <c r="BC10" t="str">
        <f>IFERROR(AVERAGEIF($C$3:$BA$3,"П",C10:BA10),"")</f>
        <v/>
      </c>
      <c r="BD10" t="str">
        <f>IFERROR(AVERAGEIF($C$3:$BA$3,"С",C10:BA10),"")</f>
        <v/>
      </c>
      <c r="BE10" t="str">
        <f>IFERROR(AVERAGEIF($C$3:$BA$3,"Пр",C10:BA10),"")</f>
        <v/>
      </c>
      <c r="BF10">
        <f>0.2*N(BB10)+0.4*N(BC10)+0.15*N(BD10)+0.25*N(BE10)</f>
        <v>0</v>
      </c>
      <c r="BG10" t="str">
        <f>IFERROR(VLOOKUP(BF10,$BN$5:$BS$15,2,TRUE),"")</f>
        <v>F</v>
      </c>
      <c r="BH10">
        <f>IFERROR(VLOOKUP(BF10,$BN$5:$BS$15,3,TRUE),"")</f>
        <v>0</v>
      </c>
      <c r="BI10">
        <f>IFERROR(VLOOKUP(BF10,$BN$5:$BS$15,4,TRUE),"")</f>
        <v>2</v>
      </c>
      <c r="BJ10" t="str">
        <f>IF(BF10&gt;=50,"зачёт","незачёт")</f>
        <v>незачёт</v>
      </c>
      <c r="BK10">
        <f>IFERROR((0.2*N(BB10)+0.4*N(BC10)+0.15*N(BD10))/0.75,"")</f>
        <v>0</v>
      </c>
      <c r="BN10">
        <v>70</v>
      </c>
      <c r="BO10" t="s">
        <v>74</v>
      </c>
      <c r="BP10">
        <v>2.33</v>
      </c>
      <c r="BQ10">
        <v>3</v>
      </c>
      <c r="BR10" t="s">
        <v>69</v>
      </c>
      <c r="BS10" t="s">
        <v>70</v>
      </c>
    </row>
    <row r="11" spans="1:71" x14ac:dyDescent="0.25">
      <c r="A11">
        <v>7</v>
      </c>
      <c r="BB11" t="str">
        <f>IFERROR(AVERAGEIF($C$3:$BA$3,"Т",C11:BA11),"")</f>
        <v/>
      </c>
      <c r="BC11" t="str">
        <f>IFERROR(AVERAGEIF($C$3:$BA$3,"П",C11:BA11),"")</f>
        <v/>
      </c>
      <c r="BD11" t="str">
        <f>IFERROR(AVERAGEIF($C$3:$BA$3,"С",C11:BA11),"")</f>
        <v/>
      </c>
      <c r="BE11" t="str">
        <f>IFERROR(AVERAGEIF($C$3:$BA$3,"Пр",C11:BA11),"")</f>
        <v/>
      </c>
      <c r="BF11">
        <f>0.2*N(BB11)+0.4*N(BC11)+0.15*N(BD11)+0.25*N(BE11)</f>
        <v>0</v>
      </c>
      <c r="BG11" t="str">
        <f>IFERROR(VLOOKUP(BF11,$BN$5:$BS$15,2,TRUE),"")</f>
        <v>F</v>
      </c>
      <c r="BH11">
        <f>IFERROR(VLOOKUP(BF11,$BN$5:$BS$15,3,TRUE),"")</f>
        <v>0</v>
      </c>
      <c r="BI11">
        <f>IFERROR(VLOOKUP(BF11,$BN$5:$BS$15,4,TRUE),"")</f>
        <v>2</v>
      </c>
      <c r="BJ11" t="str">
        <f>IF(BF11&gt;=50,"зачёт","незачёт")</f>
        <v>незачёт</v>
      </c>
      <c r="BK11">
        <f>IFERROR((0.2*N(BB11)+0.4*N(BC11)+0.15*N(BD11))/0.75,"")</f>
        <v>0</v>
      </c>
      <c r="BN11">
        <v>75</v>
      </c>
      <c r="BO11" t="s">
        <v>75</v>
      </c>
      <c r="BP11">
        <v>2.67</v>
      </c>
      <c r="BQ11">
        <v>4</v>
      </c>
      <c r="BR11" t="s">
        <v>76</v>
      </c>
      <c r="BS11" t="s">
        <v>70</v>
      </c>
    </row>
    <row r="12" spans="1:71" x14ac:dyDescent="0.25">
      <c r="A12">
        <v>8</v>
      </c>
      <c r="BB12" t="str">
        <f>IFERROR(AVERAGEIF($C$3:$BA$3,"Т",C12:BA12),"")</f>
        <v/>
      </c>
      <c r="BC12" t="str">
        <f>IFERROR(AVERAGEIF($C$3:$BA$3,"П",C12:BA12),"")</f>
        <v/>
      </c>
      <c r="BD12" t="str">
        <f>IFERROR(AVERAGEIF($C$3:$BA$3,"С",C12:BA12),"")</f>
        <v/>
      </c>
      <c r="BE12" t="str">
        <f>IFERROR(AVERAGEIF($C$3:$BA$3,"Пр",C12:BA12),"")</f>
        <v/>
      </c>
      <c r="BF12">
        <f>0.2*N(BB12)+0.4*N(BC12)+0.15*N(BD12)+0.25*N(BE12)</f>
        <v>0</v>
      </c>
      <c r="BG12" t="str">
        <f>IFERROR(VLOOKUP(BF12,$BN$5:$BS$15,2,TRUE),"")</f>
        <v>F</v>
      </c>
      <c r="BH12">
        <f>IFERROR(VLOOKUP(BF12,$BN$5:$BS$15,3,TRUE),"")</f>
        <v>0</v>
      </c>
      <c r="BI12">
        <f>IFERROR(VLOOKUP(BF12,$BN$5:$BS$15,4,TRUE),"")</f>
        <v>2</v>
      </c>
      <c r="BJ12" t="str">
        <f>IF(BF12&gt;=50,"зачёт","незачёт")</f>
        <v>незачёт</v>
      </c>
      <c r="BK12">
        <f>IFERROR((0.2*N(BB12)+0.4*N(BC12)+0.15*N(BD12))/0.75,"")</f>
        <v>0</v>
      </c>
      <c r="BN12">
        <v>80</v>
      </c>
      <c r="BO12" t="s">
        <v>77</v>
      </c>
      <c r="BP12">
        <v>3</v>
      </c>
      <c r="BQ12">
        <v>4</v>
      </c>
      <c r="BR12" t="s">
        <v>76</v>
      </c>
      <c r="BS12" t="s">
        <v>70</v>
      </c>
    </row>
    <row r="13" spans="1:71" x14ac:dyDescent="0.25">
      <c r="A13">
        <v>9</v>
      </c>
      <c r="BB13" t="str">
        <f>IFERROR(AVERAGEIF($C$3:$BA$3,"Т",C13:BA13),"")</f>
        <v/>
      </c>
      <c r="BC13" t="str">
        <f>IFERROR(AVERAGEIF($C$3:$BA$3,"П",C13:BA13),"")</f>
        <v/>
      </c>
      <c r="BD13" t="str">
        <f>IFERROR(AVERAGEIF($C$3:$BA$3,"С",C13:BA13),"")</f>
        <v/>
      </c>
      <c r="BE13" t="str">
        <f>IFERROR(AVERAGEIF($C$3:$BA$3,"Пр",C13:BA13),"")</f>
        <v/>
      </c>
      <c r="BF13">
        <f>0.2*N(BB13)+0.4*N(BC13)+0.15*N(BD13)+0.25*N(BE13)</f>
        <v>0</v>
      </c>
      <c r="BG13" t="str">
        <f>IFERROR(VLOOKUP(BF13,$BN$5:$BS$15,2,TRUE),"")</f>
        <v>F</v>
      </c>
      <c r="BH13">
        <f>IFERROR(VLOOKUP(BF13,$BN$5:$BS$15,3,TRUE),"")</f>
        <v>0</v>
      </c>
      <c r="BI13">
        <f>IFERROR(VLOOKUP(BF13,$BN$5:$BS$15,4,TRUE),"")</f>
        <v>2</v>
      </c>
      <c r="BJ13" t="str">
        <f>IF(BF13&gt;=50,"зачёт","незачёт")</f>
        <v>незачёт</v>
      </c>
      <c r="BK13">
        <f>IFERROR((0.2*N(BB13)+0.4*N(BC13)+0.15*N(BD13))/0.75,"")</f>
        <v>0</v>
      </c>
      <c r="BN13">
        <v>85</v>
      </c>
      <c r="BO13" t="s">
        <v>78</v>
      </c>
      <c r="BP13">
        <v>3.33</v>
      </c>
      <c r="BQ13">
        <v>4</v>
      </c>
      <c r="BR13" t="s">
        <v>76</v>
      </c>
      <c r="BS13" t="s">
        <v>70</v>
      </c>
    </row>
    <row r="14" spans="1:71" x14ac:dyDescent="0.25">
      <c r="A14">
        <v>10</v>
      </c>
      <c r="BB14" t="str">
        <f>IFERROR(AVERAGEIF($C$3:$BA$3,"Т",C14:BA14),"")</f>
        <v/>
      </c>
      <c r="BC14" t="str">
        <f>IFERROR(AVERAGEIF($C$3:$BA$3,"П",C14:BA14),"")</f>
        <v/>
      </c>
      <c r="BD14" t="str">
        <f>IFERROR(AVERAGEIF($C$3:$BA$3,"С",C14:BA14),"")</f>
        <v/>
      </c>
      <c r="BE14" t="str">
        <f>IFERROR(AVERAGEIF($C$3:$BA$3,"Пр",C14:BA14),"")</f>
        <v/>
      </c>
      <c r="BF14">
        <f>0.2*N(BB14)+0.4*N(BC14)+0.15*N(BD14)+0.25*N(BE14)</f>
        <v>0</v>
      </c>
      <c r="BG14" t="str">
        <f>IFERROR(VLOOKUP(BF14,$BN$5:$BS$15,2,TRUE),"")</f>
        <v>F</v>
      </c>
      <c r="BH14">
        <f>IFERROR(VLOOKUP(BF14,$BN$5:$BS$15,3,TRUE),"")</f>
        <v>0</v>
      </c>
      <c r="BI14">
        <f>IFERROR(VLOOKUP(BF14,$BN$5:$BS$15,4,TRUE),"")</f>
        <v>2</v>
      </c>
      <c r="BJ14" t="str">
        <f>IF(BF14&gt;=50,"зачёт","незачёт")</f>
        <v>незачёт</v>
      </c>
      <c r="BK14">
        <f>IFERROR((0.2*N(BB14)+0.4*N(BC14)+0.15*N(BD14))/0.75,"")</f>
        <v>0</v>
      </c>
      <c r="BN14">
        <v>90</v>
      </c>
      <c r="BO14" t="s">
        <v>79</v>
      </c>
      <c r="BP14">
        <v>3.67</v>
      </c>
      <c r="BQ14">
        <v>5</v>
      </c>
      <c r="BR14" t="s">
        <v>80</v>
      </c>
      <c r="BS14" t="s">
        <v>70</v>
      </c>
    </row>
    <row r="15" spans="1:71" x14ac:dyDescent="0.25">
      <c r="A15">
        <v>11</v>
      </c>
      <c r="BB15" t="str">
        <f>IFERROR(AVERAGEIF($C$3:$BA$3,"Т",C15:BA15),"")</f>
        <v/>
      </c>
      <c r="BC15" t="str">
        <f>IFERROR(AVERAGEIF($C$3:$BA$3,"П",C15:BA15),"")</f>
        <v/>
      </c>
      <c r="BD15" t="str">
        <f>IFERROR(AVERAGEIF($C$3:$BA$3,"С",C15:BA15),"")</f>
        <v/>
      </c>
      <c r="BE15" t="str">
        <f>IFERROR(AVERAGEIF($C$3:$BA$3,"Пр",C15:BA15),"")</f>
        <v/>
      </c>
      <c r="BF15">
        <f>0.2*N(BB15)+0.4*N(BC15)+0.15*N(BD15)+0.25*N(BE15)</f>
        <v>0</v>
      </c>
      <c r="BG15" t="str">
        <f>IFERROR(VLOOKUP(BF15,$BN$5:$BS$15,2,TRUE),"")</f>
        <v>F</v>
      </c>
      <c r="BH15">
        <f>IFERROR(VLOOKUP(BF15,$BN$5:$BS$15,3,TRUE),"")</f>
        <v>0</v>
      </c>
      <c r="BI15">
        <f>IFERROR(VLOOKUP(BF15,$BN$5:$BS$15,4,TRUE),"")</f>
        <v>2</v>
      </c>
      <c r="BJ15" t="str">
        <f>IF(BF15&gt;=50,"зачёт","незачёт")</f>
        <v>незачёт</v>
      </c>
      <c r="BK15">
        <f>IFERROR((0.2*N(BB15)+0.4*N(BC15)+0.15*N(BD15))/0.75,"")</f>
        <v>0</v>
      </c>
      <c r="BN15">
        <v>95</v>
      </c>
      <c r="BO15" t="s">
        <v>81</v>
      </c>
      <c r="BP15">
        <v>4</v>
      </c>
      <c r="BQ15">
        <v>5</v>
      </c>
      <c r="BR15" t="s">
        <v>80</v>
      </c>
      <c r="BS15" t="s">
        <v>70</v>
      </c>
    </row>
    <row r="16" spans="1:71" x14ac:dyDescent="0.25">
      <c r="A16">
        <v>12</v>
      </c>
      <c r="BB16" t="str">
        <f>IFERROR(AVERAGEIF($C$3:$BA$3,"Т",C16:BA16),"")</f>
        <v/>
      </c>
      <c r="BC16" t="str">
        <f>IFERROR(AVERAGEIF($C$3:$BA$3,"П",C16:BA16),"")</f>
        <v/>
      </c>
      <c r="BD16" t="str">
        <f>IFERROR(AVERAGEIF($C$3:$BA$3,"С",C16:BA16),"")</f>
        <v/>
      </c>
      <c r="BE16" t="str">
        <f>IFERROR(AVERAGEIF($C$3:$BA$3,"Пр",C16:BA16),"")</f>
        <v/>
      </c>
      <c r="BF16">
        <f>0.2*N(BB16)+0.4*N(BC16)+0.15*N(BD16)+0.25*N(BE16)</f>
        <v>0</v>
      </c>
      <c r="BG16" t="str">
        <f>IFERROR(VLOOKUP(BF16,$BN$5:$BS$15,2,TRUE),"")</f>
        <v>F</v>
      </c>
      <c r="BH16">
        <f>IFERROR(VLOOKUP(BF16,$BN$5:$BS$15,3,TRUE),"")</f>
        <v>0</v>
      </c>
      <c r="BI16">
        <f>IFERROR(VLOOKUP(BF16,$BN$5:$BS$15,4,TRUE),"")</f>
        <v>2</v>
      </c>
      <c r="BJ16" t="str">
        <f>IF(BF16&gt;=50,"зачёт","незачёт")</f>
        <v>незачёт</v>
      </c>
      <c r="BK16">
        <f>IFERROR((0.2*N(BB16)+0.4*N(BC16)+0.15*N(BD16))/0.75,"")</f>
        <v>0</v>
      </c>
    </row>
    <row r="17" spans="1:63" x14ac:dyDescent="0.25">
      <c r="A17">
        <v>13</v>
      </c>
      <c r="BB17" t="str">
        <f>IFERROR(AVERAGEIF($C$3:$BA$3,"Т",C17:BA17),"")</f>
        <v/>
      </c>
      <c r="BC17" t="str">
        <f>IFERROR(AVERAGEIF($C$3:$BA$3,"П",C17:BA17),"")</f>
        <v/>
      </c>
      <c r="BD17" t="str">
        <f>IFERROR(AVERAGEIF($C$3:$BA$3,"С",C17:BA17),"")</f>
        <v/>
      </c>
      <c r="BE17" t="str">
        <f>IFERROR(AVERAGEIF($C$3:$BA$3,"Пр",C17:BA17),"")</f>
        <v/>
      </c>
      <c r="BF17">
        <f>0.2*N(BB17)+0.4*N(BC17)+0.15*N(BD17)+0.25*N(BE17)</f>
        <v>0</v>
      </c>
      <c r="BG17" t="str">
        <f>IFERROR(VLOOKUP(BF17,$BN$5:$BS$15,2,TRUE),"")</f>
        <v>F</v>
      </c>
      <c r="BH17">
        <f>IFERROR(VLOOKUP(BF17,$BN$5:$BS$15,3,TRUE),"")</f>
        <v>0</v>
      </c>
      <c r="BI17">
        <f>IFERROR(VLOOKUP(BF17,$BN$5:$BS$15,4,TRUE),"")</f>
        <v>2</v>
      </c>
      <c r="BJ17" t="str">
        <f>IF(BF17&gt;=50,"зачёт","незачёт")</f>
        <v>незачёт</v>
      </c>
      <c r="BK17">
        <f>IFERROR((0.2*N(BB17)+0.4*N(BC17)+0.15*N(BD17))/0.75,"")</f>
        <v>0</v>
      </c>
    </row>
    <row r="18" spans="1:63" x14ac:dyDescent="0.25">
      <c r="A18">
        <v>14</v>
      </c>
      <c r="BB18" t="str">
        <f>IFERROR(AVERAGEIF($C$3:$BA$3,"Т",C18:BA18),"")</f>
        <v/>
      </c>
      <c r="BC18" t="str">
        <f>IFERROR(AVERAGEIF($C$3:$BA$3,"П",C18:BA18),"")</f>
        <v/>
      </c>
      <c r="BD18" t="str">
        <f>IFERROR(AVERAGEIF($C$3:$BA$3,"С",C18:BA18),"")</f>
        <v/>
      </c>
      <c r="BE18" t="str">
        <f>IFERROR(AVERAGEIF($C$3:$BA$3,"Пр",C18:BA18),"")</f>
        <v/>
      </c>
      <c r="BF18">
        <f>0.2*N(BB18)+0.4*N(BC18)+0.15*N(BD18)+0.25*N(BE18)</f>
        <v>0</v>
      </c>
      <c r="BG18" t="str">
        <f>IFERROR(VLOOKUP(BF18,$BN$5:$BS$15,2,TRUE),"")</f>
        <v>F</v>
      </c>
      <c r="BH18">
        <f>IFERROR(VLOOKUP(BF18,$BN$5:$BS$15,3,TRUE),"")</f>
        <v>0</v>
      </c>
      <c r="BI18">
        <f>IFERROR(VLOOKUP(BF18,$BN$5:$BS$15,4,TRUE),"")</f>
        <v>2</v>
      </c>
      <c r="BJ18" t="str">
        <f>IF(BF18&gt;=50,"зачёт","незачёт")</f>
        <v>незачёт</v>
      </c>
      <c r="BK18">
        <f>IFERROR((0.2*N(BB18)+0.4*N(BC18)+0.15*N(BD18))/0.75,"")</f>
        <v>0</v>
      </c>
    </row>
    <row r="19" spans="1:63" x14ac:dyDescent="0.25">
      <c r="A19">
        <v>15</v>
      </c>
      <c r="BB19" t="str">
        <f>IFERROR(AVERAGEIF($C$3:$BA$3,"Т",C19:BA19),"")</f>
        <v/>
      </c>
      <c r="BC19" t="str">
        <f>IFERROR(AVERAGEIF($C$3:$BA$3,"П",C19:BA19),"")</f>
        <v/>
      </c>
      <c r="BD19" t="str">
        <f>IFERROR(AVERAGEIF($C$3:$BA$3,"С",C19:BA19),"")</f>
        <v/>
      </c>
      <c r="BE19" t="str">
        <f>IFERROR(AVERAGEIF($C$3:$BA$3,"Пр",C19:BA19),"")</f>
        <v/>
      </c>
      <c r="BF19">
        <f>0.2*N(BB19)+0.4*N(BC19)+0.15*N(BD19)+0.25*N(BE19)</f>
        <v>0</v>
      </c>
      <c r="BG19" t="str">
        <f>IFERROR(VLOOKUP(BF19,$BN$5:$BS$15,2,TRUE),"")</f>
        <v>F</v>
      </c>
      <c r="BH19">
        <f>IFERROR(VLOOKUP(BF19,$BN$5:$BS$15,3,TRUE),"")</f>
        <v>0</v>
      </c>
      <c r="BI19">
        <f>IFERROR(VLOOKUP(BF19,$BN$5:$BS$15,4,TRUE),"")</f>
        <v>2</v>
      </c>
      <c r="BJ19" t="str">
        <f>IF(BF19&gt;=50,"зачёт","незачёт")</f>
        <v>незачёт</v>
      </c>
      <c r="BK19">
        <f>IFERROR((0.2*N(BB19)+0.4*N(BC19)+0.15*N(BD19))/0.75,"")</f>
        <v>0</v>
      </c>
    </row>
    <row r="20" spans="1:63" x14ac:dyDescent="0.25">
      <c r="A20">
        <v>16</v>
      </c>
      <c r="BB20" t="str">
        <f>IFERROR(AVERAGEIF($C$3:$BA$3,"Т",C20:BA20),"")</f>
        <v/>
      </c>
      <c r="BC20" t="str">
        <f>IFERROR(AVERAGEIF($C$3:$BA$3,"П",C20:BA20),"")</f>
        <v/>
      </c>
      <c r="BD20" t="str">
        <f>IFERROR(AVERAGEIF($C$3:$BA$3,"С",C20:BA20),"")</f>
        <v/>
      </c>
      <c r="BE20" t="str">
        <f>IFERROR(AVERAGEIF($C$3:$BA$3,"Пр",C20:BA20),"")</f>
        <v/>
      </c>
      <c r="BF20">
        <f>0.2*N(BB20)+0.4*N(BC20)+0.15*N(BD20)+0.25*N(BE20)</f>
        <v>0</v>
      </c>
      <c r="BG20" t="str">
        <f>IFERROR(VLOOKUP(BF20,$BN$5:$BS$15,2,TRUE),"")</f>
        <v>F</v>
      </c>
      <c r="BH20">
        <f>IFERROR(VLOOKUP(BF20,$BN$5:$BS$15,3,TRUE),"")</f>
        <v>0</v>
      </c>
      <c r="BI20">
        <f>IFERROR(VLOOKUP(BF20,$BN$5:$BS$15,4,TRUE),"")</f>
        <v>2</v>
      </c>
      <c r="BJ20" t="str">
        <f>IF(BF20&gt;=50,"зачёт","незачёт")</f>
        <v>незачёт</v>
      </c>
      <c r="BK20">
        <f>IFERROR((0.2*N(BB20)+0.4*N(BC20)+0.15*N(BD20))/0.75,"")</f>
        <v>0</v>
      </c>
    </row>
    <row r="21" spans="1:63" x14ac:dyDescent="0.25">
      <c r="A21">
        <v>17</v>
      </c>
      <c r="BB21" t="str">
        <f>IFERROR(AVERAGEIF($C$3:$BA$3,"Т",C21:BA21),"")</f>
        <v/>
      </c>
      <c r="BC21" t="str">
        <f>IFERROR(AVERAGEIF($C$3:$BA$3,"П",C21:BA21),"")</f>
        <v/>
      </c>
      <c r="BD21" t="str">
        <f>IFERROR(AVERAGEIF($C$3:$BA$3,"С",C21:BA21),"")</f>
        <v/>
      </c>
      <c r="BE21" t="str">
        <f>IFERROR(AVERAGEIF($C$3:$BA$3,"Пр",C21:BA21),"")</f>
        <v/>
      </c>
      <c r="BF21">
        <f>0.2*N(BB21)+0.4*N(BC21)+0.15*N(BD21)+0.25*N(BE21)</f>
        <v>0</v>
      </c>
      <c r="BG21" t="str">
        <f>IFERROR(VLOOKUP(BF21,$BN$5:$BS$15,2,TRUE),"")</f>
        <v>F</v>
      </c>
      <c r="BH21">
        <f>IFERROR(VLOOKUP(BF21,$BN$5:$BS$15,3,TRUE),"")</f>
        <v>0</v>
      </c>
      <c r="BI21">
        <f>IFERROR(VLOOKUP(BF21,$BN$5:$BS$15,4,TRUE),"")</f>
        <v>2</v>
      </c>
      <c r="BJ21" t="str">
        <f>IF(BF21&gt;=50,"зачёт","незачёт")</f>
        <v>незачёт</v>
      </c>
      <c r="BK21">
        <f>IFERROR((0.2*N(BB21)+0.4*N(BC21)+0.15*N(BD21))/0.75,"")</f>
        <v>0</v>
      </c>
    </row>
    <row r="22" spans="1:63" x14ac:dyDescent="0.25">
      <c r="A22">
        <v>18</v>
      </c>
      <c r="BB22" t="str">
        <f>IFERROR(AVERAGEIF($C$3:$BA$3,"Т",C22:BA22),"")</f>
        <v/>
      </c>
      <c r="BC22" t="str">
        <f>IFERROR(AVERAGEIF($C$3:$BA$3,"П",C22:BA22),"")</f>
        <v/>
      </c>
      <c r="BD22" t="str">
        <f>IFERROR(AVERAGEIF($C$3:$BA$3,"С",C22:BA22),"")</f>
        <v/>
      </c>
      <c r="BE22" t="str">
        <f>IFERROR(AVERAGEIF($C$3:$BA$3,"Пр",C22:BA22),"")</f>
        <v/>
      </c>
      <c r="BF22">
        <f>0.2*N(BB22)+0.4*N(BC22)+0.15*N(BD22)+0.25*N(BE22)</f>
        <v>0</v>
      </c>
      <c r="BG22" t="str">
        <f>IFERROR(VLOOKUP(BF22,$BN$5:$BS$15,2,TRUE),"")</f>
        <v>F</v>
      </c>
      <c r="BH22">
        <f>IFERROR(VLOOKUP(BF22,$BN$5:$BS$15,3,TRUE),"")</f>
        <v>0</v>
      </c>
      <c r="BI22">
        <f>IFERROR(VLOOKUP(BF22,$BN$5:$BS$15,4,TRUE),"")</f>
        <v>2</v>
      </c>
      <c r="BJ22" t="str">
        <f>IF(BF22&gt;=50,"зачёт","незачёт")</f>
        <v>незачёт</v>
      </c>
      <c r="BK22">
        <f>IFERROR((0.2*N(BB22)+0.4*N(BC22)+0.15*N(BD22))/0.75,"")</f>
        <v>0</v>
      </c>
    </row>
    <row r="23" spans="1:63" x14ac:dyDescent="0.25">
      <c r="A23">
        <v>19</v>
      </c>
      <c r="BB23" t="str">
        <f>IFERROR(AVERAGEIF($C$3:$BA$3,"Т",C23:BA23),"")</f>
        <v/>
      </c>
      <c r="BC23" t="str">
        <f>IFERROR(AVERAGEIF($C$3:$BA$3,"П",C23:BA23),"")</f>
        <v/>
      </c>
      <c r="BD23" t="str">
        <f>IFERROR(AVERAGEIF($C$3:$BA$3,"С",C23:BA23),"")</f>
        <v/>
      </c>
      <c r="BE23" t="str">
        <f>IFERROR(AVERAGEIF($C$3:$BA$3,"Пр",C23:BA23),"")</f>
        <v/>
      </c>
      <c r="BF23">
        <f>0.2*N(BB23)+0.4*N(BC23)+0.15*N(BD23)+0.25*N(BE23)</f>
        <v>0</v>
      </c>
      <c r="BG23" t="str">
        <f>IFERROR(VLOOKUP(BF23,$BN$5:$BS$15,2,TRUE),"")</f>
        <v>F</v>
      </c>
      <c r="BH23">
        <f>IFERROR(VLOOKUP(BF23,$BN$5:$BS$15,3,TRUE),"")</f>
        <v>0</v>
      </c>
      <c r="BI23">
        <f>IFERROR(VLOOKUP(BF23,$BN$5:$BS$15,4,TRUE),"")</f>
        <v>2</v>
      </c>
      <c r="BJ23" t="str">
        <f>IF(BF23&gt;=50,"зачёт","незачёт")</f>
        <v>незачёт</v>
      </c>
      <c r="BK23">
        <f>IFERROR((0.2*N(BB23)+0.4*N(BC23)+0.15*N(BD23))/0.75,"")</f>
        <v>0</v>
      </c>
    </row>
    <row r="24" spans="1:63" x14ac:dyDescent="0.25">
      <c r="A24">
        <v>20</v>
      </c>
      <c r="BB24" t="str">
        <f>IFERROR(AVERAGEIF($C$3:$BA$3,"Т",C24:BA24),"")</f>
        <v/>
      </c>
      <c r="BC24" t="str">
        <f>IFERROR(AVERAGEIF($C$3:$BA$3,"П",C24:BA24),"")</f>
        <v/>
      </c>
      <c r="BD24" t="str">
        <f>IFERROR(AVERAGEIF($C$3:$BA$3,"С",C24:BA24),"")</f>
        <v/>
      </c>
      <c r="BE24" t="str">
        <f>IFERROR(AVERAGEIF($C$3:$BA$3,"Пр",C24:BA24),"")</f>
        <v/>
      </c>
      <c r="BF24">
        <f>0.2*N(BB24)+0.4*N(BC24)+0.15*N(BD24)+0.25*N(BE24)</f>
        <v>0</v>
      </c>
      <c r="BG24" t="str">
        <f>IFERROR(VLOOKUP(BF24,$BN$5:$BS$15,2,TRUE),"")</f>
        <v>F</v>
      </c>
      <c r="BH24">
        <f>IFERROR(VLOOKUP(BF24,$BN$5:$BS$15,3,TRUE),"")</f>
        <v>0</v>
      </c>
      <c r="BI24">
        <f>IFERROR(VLOOKUP(BF24,$BN$5:$BS$15,4,TRUE),"")</f>
        <v>2</v>
      </c>
      <c r="BJ24" t="str">
        <f>IF(BF24&gt;=50,"зачёт","незачёт")</f>
        <v>незачёт</v>
      </c>
      <c r="BK24">
        <f>IFERROR((0.2*N(BB24)+0.4*N(BC24)+0.15*N(BD24))/0.75,"")</f>
        <v>0</v>
      </c>
    </row>
    <row r="25" spans="1:63" x14ac:dyDescent="0.25">
      <c r="A25">
        <v>21</v>
      </c>
      <c r="BB25" t="str">
        <f>IFERROR(AVERAGEIF($C$3:$BA$3,"Т",C25:BA25),"")</f>
        <v/>
      </c>
      <c r="BC25" t="str">
        <f>IFERROR(AVERAGEIF($C$3:$BA$3,"П",C25:BA25),"")</f>
        <v/>
      </c>
      <c r="BD25" t="str">
        <f>IFERROR(AVERAGEIF($C$3:$BA$3,"С",C25:BA25),"")</f>
        <v/>
      </c>
      <c r="BE25" t="str">
        <f>IFERROR(AVERAGEIF($C$3:$BA$3,"Пр",C25:BA25),"")</f>
        <v/>
      </c>
      <c r="BF25">
        <f>0.2*N(BB25)+0.4*N(BC25)+0.15*N(BD25)+0.25*N(BE25)</f>
        <v>0</v>
      </c>
      <c r="BG25" t="str">
        <f>IFERROR(VLOOKUP(BF25,$BN$5:$BS$15,2,TRUE),"")</f>
        <v>F</v>
      </c>
      <c r="BH25">
        <f>IFERROR(VLOOKUP(BF25,$BN$5:$BS$15,3,TRUE),"")</f>
        <v>0</v>
      </c>
      <c r="BI25">
        <f>IFERROR(VLOOKUP(BF25,$BN$5:$BS$15,4,TRUE),"")</f>
        <v>2</v>
      </c>
      <c r="BJ25" t="str">
        <f>IF(BF25&gt;=50,"зачёт","незачёт")</f>
        <v>незачёт</v>
      </c>
      <c r="BK25">
        <f>IFERROR((0.2*N(BB25)+0.4*N(BC25)+0.15*N(BD25))/0.75,"")</f>
        <v>0</v>
      </c>
    </row>
    <row r="26" spans="1:63" x14ac:dyDescent="0.25">
      <c r="A26">
        <v>22</v>
      </c>
      <c r="BB26" t="str">
        <f>IFERROR(AVERAGEIF($C$3:$BA$3,"Т",C26:BA26),"")</f>
        <v/>
      </c>
      <c r="BC26" t="str">
        <f>IFERROR(AVERAGEIF($C$3:$BA$3,"П",C26:BA26),"")</f>
        <v/>
      </c>
      <c r="BD26" t="str">
        <f>IFERROR(AVERAGEIF($C$3:$BA$3,"С",C26:BA26),"")</f>
        <v/>
      </c>
      <c r="BE26" t="str">
        <f>IFERROR(AVERAGEIF($C$3:$BA$3,"Пр",C26:BA26),"")</f>
        <v/>
      </c>
      <c r="BF26">
        <f>0.2*N(BB26)+0.4*N(BC26)+0.15*N(BD26)+0.25*N(BE26)</f>
        <v>0</v>
      </c>
      <c r="BG26" t="str">
        <f>IFERROR(VLOOKUP(BF26,$BN$5:$BS$15,2,TRUE),"")</f>
        <v>F</v>
      </c>
      <c r="BH26">
        <f>IFERROR(VLOOKUP(BF26,$BN$5:$BS$15,3,TRUE),"")</f>
        <v>0</v>
      </c>
      <c r="BI26">
        <f>IFERROR(VLOOKUP(BF26,$BN$5:$BS$15,4,TRUE),"")</f>
        <v>2</v>
      </c>
      <c r="BJ26" t="str">
        <f>IF(BF26&gt;=50,"зачёт","незачёт")</f>
        <v>незачёт</v>
      </c>
      <c r="BK26">
        <f>IFERROR((0.2*N(BB26)+0.4*N(BC26)+0.15*N(BD26))/0.75,"")</f>
        <v>0</v>
      </c>
    </row>
    <row r="27" spans="1:63" x14ac:dyDescent="0.25">
      <c r="A27">
        <v>23</v>
      </c>
      <c r="BB27" t="str">
        <f>IFERROR(AVERAGEIF($C$3:$BA$3,"Т",C27:BA27),"")</f>
        <v/>
      </c>
      <c r="BC27" t="str">
        <f>IFERROR(AVERAGEIF($C$3:$BA$3,"П",C27:BA27),"")</f>
        <v/>
      </c>
      <c r="BD27" t="str">
        <f>IFERROR(AVERAGEIF($C$3:$BA$3,"С",C27:BA27),"")</f>
        <v/>
      </c>
      <c r="BE27" t="str">
        <f>IFERROR(AVERAGEIF($C$3:$BA$3,"Пр",C27:BA27),"")</f>
        <v/>
      </c>
      <c r="BF27">
        <f>0.2*N(BB27)+0.4*N(BC27)+0.15*N(BD27)+0.25*N(BE27)</f>
        <v>0</v>
      </c>
      <c r="BG27" t="str">
        <f>IFERROR(VLOOKUP(BF27,$BN$5:$BS$15,2,TRUE),"")</f>
        <v>F</v>
      </c>
      <c r="BH27">
        <f>IFERROR(VLOOKUP(BF27,$BN$5:$BS$15,3,TRUE),"")</f>
        <v>0</v>
      </c>
      <c r="BI27">
        <f>IFERROR(VLOOKUP(BF27,$BN$5:$BS$15,4,TRUE),"")</f>
        <v>2</v>
      </c>
      <c r="BJ27" t="str">
        <f>IF(BF27&gt;=50,"зачёт","незачёт")</f>
        <v>незачёт</v>
      </c>
      <c r="BK27">
        <f>IFERROR((0.2*N(BB27)+0.4*N(BC27)+0.15*N(BD27))/0.75,"")</f>
        <v>0</v>
      </c>
    </row>
    <row r="28" spans="1:63" x14ac:dyDescent="0.25">
      <c r="A28">
        <v>24</v>
      </c>
      <c r="BB28" t="str">
        <f>IFERROR(AVERAGEIF($C$3:$BA$3,"Т",C28:BA28),"")</f>
        <v/>
      </c>
      <c r="BC28" t="str">
        <f>IFERROR(AVERAGEIF($C$3:$BA$3,"П",C28:BA28),"")</f>
        <v/>
      </c>
      <c r="BD28" t="str">
        <f>IFERROR(AVERAGEIF($C$3:$BA$3,"С",C28:BA28),"")</f>
        <v/>
      </c>
      <c r="BE28" t="str">
        <f>IFERROR(AVERAGEIF($C$3:$BA$3,"Пр",C28:BA28),"")</f>
        <v/>
      </c>
      <c r="BF28">
        <f>0.2*N(BB28)+0.4*N(BC28)+0.15*N(BD28)+0.25*N(BE28)</f>
        <v>0</v>
      </c>
      <c r="BG28" t="str">
        <f>IFERROR(VLOOKUP(BF28,$BN$5:$BS$15,2,TRUE),"")</f>
        <v>F</v>
      </c>
      <c r="BH28">
        <f>IFERROR(VLOOKUP(BF28,$BN$5:$BS$15,3,TRUE),"")</f>
        <v>0</v>
      </c>
      <c r="BI28">
        <f>IFERROR(VLOOKUP(BF28,$BN$5:$BS$15,4,TRUE),"")</f>
        <v>2</v>
      </c>
      <c r="BJ28" t="str">
        <f>IF(BF28&gt;=50,"зачёт","незачёт")</f>
        <v>незачёт</v>
      </c>
      <c r="BK28">
        <f>IFERROR((0.2*N(BB28)+0.4*N(BC28)+0.15*N(BD28))/0.75,"")</f>
        <v>0</v>
      </c>
    </row>
    <row r="29" spans="1:63" x14ac:dyDescent="0.25">
      <c r="A29">
        <v>25</v>
      </c>
      <c r="BB29" t="str">
        <f>IFERROR(AVERAGEIF($C$3:$BA$3,"Т",C29:BA29),"")</f>
        <v/>
      </c>
      <c r="BC29" t="str">
        <f>IFERROR(AVERAGEIF($C$3:$BA$3,"П",C29:BA29),"")</f>
        <v/>
      </c>
      <c r="BD29" t="str">
        <f>IFERROR(AVERAGEIF($C$3:$BA$3,"С",C29:BA29),"")</f>
        <v/>
      </c>
      <c r="BE29" t="str">
        <f>IFERROR(AVERAGEIF($C$3:$BA$3,"Пр",C29:BA29),"")</f>
        <v/>
      </c>
      <c r="BF29">
        <f>0.2*N(BB29)+0.4*N(BC29)+0.15*N(BD29)+0.25*N(BE29)</f>
        <v>0</v>
      </c>
      <c r="BG29" t="str">
        <f>IFERROR(VLOOKUP(BF29,$BN$5:$BS$15,2,TRUE),"")</f>
        <v>F</v>
      </c>
      <c r="BH29">
        <f>IFERROR(VLOOKUP(BF29,$BN$5:$BS$15,3,TRUE),"")</f>
        <v>0</v>
      </c>
      <c r="BI29">
        <f>IFERROR(VLOOKUP(BF29,$BN$5:$BS$15,4,TRUE),"")</f>
        <v>2</v>
      </c>
      <c r="BJ29" t="str">
        <f>IF(BF29&gt;=50,"зачёт","незачёт")</f>
        <v>незачёт</v>
      </c>
      <c r="BK29">
        <f>IFERROR((0.2*N(BB29)+0.4*N(BC29)+0.15*N(BD29))/0.75,"")</f>
        <v>0</v>
      </c>
    </row>
    <row r="32" spans="1:63" x14ac:dyDescent="0.25">
      <c r="A32" t="s">
        <v>82</v>
      </c>
    </row>
    <row r="33" spans="1:1" x14ac:dyDescent="0.25">
      <c r="A33" t="s">
        <v>83</v>
      </c>
    </row>
    <row r="34" spans="1:1" x14ac:dyDescent="0.25">
      <c r="A34" t="s">
        <v>84</v>
      </c>
    </row>
    <row r="35" spans="1:1" x14ac:dyDescent="0.25">
      <c r="A35" t="s">
        <v>85</v>
      </c>
    </row>
  </sheetData>
  <mergeCells count="9">
    <mergeCell ref="AS2:AT2"/>
    <mergeCell ref="AY2:BA2"/>
    <mergeCell ref="BB2:BK2"/>
    <mergeCell ref="AB2:AD2"/>
    <mergeCell ref="AE2:AF2"/>
    <mergeCell ref="AG2:AH2"/>
    <mergeCell ref="AI2:AK2"/>
    <mergeCell ref="AL2:AM2"/>
    <mergeCell ref="AQ2:AR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Ведомость оценок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Daniyar Kaliaskarov</dc:creator>
  <cp:lastModifiedBy>Daniyar Kaliaskarov</cp:lastModifiedBy>
  <dcterms:created xsi:type="dcterms:W3CDTF">2026-07-28T10:00:23Z</dcterms:created>
  <dcterms:modified xsi:type="dcterms:W3CDTF">2026-07-28T10:00:26Z</dcterms:modified>
</cp:coreProperties>
</file>