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РПО_Разработка_ПО\"/>
    </mc:Choice>
  </mc:AlternateContent>
  <xr:revisionPtr revIDLastSave="0" documentId="8_{D0D0DAB2-CAFB-4C93-BEAF-7C68B05849BC}" xr6:coauthVersionLast="36" xr6:coauthVersionMax="36" xr10:uidLastSave="{00000000-0000-0000-0000-000000000000}"/>
  <bookViews>
    <workbookView xWindow="0" yWindow="0" windowWidth="28800" windowHeight="14145" xr2:uid="{7C649683-041E-480A-9FBD-62F68BC39225}"/>
  </bookViews>
  <sheets>
    <sheet name="Ведомость оценок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A28" i="1" l="1"/>
  <c r="DZ28" i="1"/>
  <c r="DY28" i="1"/>
  <c r="DX28" i="1"/>
  <c r="DW28" i="1"/>
  <c r="DV28" i="1"/>
  <c r="DU28" i="1"/>
  <c r="DT28" i="1"/>
  <c r="DS28" i="1"/>
  <c r="DR28" i="1"/>
  <c r="EA27" i="1"/>
  <c r="DZ27" i="1"/>
  <c r="DY27" i="1"/>
  <c r="DX27" i="1"/>
  <c r="DW27" i="1"/>
  <c r="DV27" i="1"/>
  <c r="DU27" i="1"/>
  <c r="DT27" i="1"/>
  <c r="DS27" i="1"/>
  <c r="DR27" i="1"/>
  <c r="EA26" i="1"/>
  <c r="DZ26" i="1"/>
  <c r="DY26" i="1"/>
  <c r="DX26" i="1"/>
  <c r="DW26" i="1"/>
  <c r="DV26" i="1"/>
  <c r="DU26" i="1"/>
  <c r="DT26" i="1"/>
  <c r="DS26" i="1"/>
  <c r="DR26" i="1"/>
  <c r="EA25" i="1"/>
  <c r="DZ25" i="1"/>
  <c r="DY25" i="1"/>
  <c r="DX25" i="1"/>
  <c r="DW25" i="1"/>
  <c r="DV25" i="1"/>
  <c r="DU25" i="1"/>
  <c r="DT25" i="1"/>
  <c r="DS25" i="1"/>
  <c r="DR25" i="1"/>
  <c r="EA24" i="1"/>
  <c r="DZ24" i="1"/>
  <c r="DY24" i="1"/>
  <c r="DX24" i="1"/>
  <c r="DW24" i="1"/>
  <c r="DV24" i="1"/>
  <c r="DU24" i="1"/>
  <c r="DT24" i="1"/>
  <c r="DS24" i="1"/>
  <c r="DR24" i="1"/>
  <c r="EA23" i="1"/>
  <c r="DZ23" i="1"/>
  <c r="DY23" i="1"/>
  <c r="DX23" i="1"/>
  <c r="DW23" i="1"/>
  <c r="DV23" i="1"/>
  <c r="DU23" i="1"/>
  <c r="DT23" i="1"/>
  <c r="DS23" i="1"/>
  <c r="DR23" i="1"/>
  <c r="EA22" i="1"/>
  <c r="DZ22" i="1"/>
  <c r="DY22" i="1"/>
  <c r="DX22" i="1"/>
  <c r="DW22" i="1"/>
  <c r="DV22" i="1"/>
  <c r="DU22" i="1"/>
  <c r="DT22" i="1"/>
  <c r="DS22" i="1"/>
  <c r="DR22" i="1"/>
  <c r="EA21" i="1"/>
  <c r="DZ21" i="1"/>
  <c r="DY21" i="1"/>
  <c r="DX21" i="1"/>
  <c r="DW21" i="1"/>
  <c r="DV21" i="1"/>
  <c r="DU21" i="1"/>
  <c r="DT21" i="1"/>
  <c r="DS21" i="1"/>
  <c r="DR21" i="1"/>
  <c r="EA20" i="1"/>
  <c r="DZ20" i="1"/>
  <c r="DY20" i="1"/>
  <c r="DX20" i="1"/>
  <c r="DW20" i="1"/>
  <c r="DV20" i="1"/>
  <c r="DU20" i="1"/>
  <c r="DT20" i="1"/>
  <c r="DS20" i="1"/>
  <c r="DR20" i="1"/>
  <c r="EA19" i="1"/>
  <c r="DZ19" i="1"/>
  <c r="DY19" i="1"/>
  <c r="DX19" i="1"/>
  <c r="DW19" i="1"/>
  <c r="DV19" i="1"/>
  <c r="DU19" i="1"/>
  <c r="DT19" i="1"/>
  <c r="DS19" i="1"/>
  <c r="DR19" i="1"/>
  <c r="EA18" i="1"/>
  <c r="DZ18" i="1"/>
  <c r="DY18" i="1"/>
  <c r="DX18" i="1"/>
  <c r="DW18" i="1"/>
  <c r="DV18" i="1"/>
  <c r="DU18" i="1"/>
  <c r="DT18" i="1"/>
  <c r="DS18" i="1"/>
  <c r="DR18" i="1"/>
  <c r="EA17" i="1"/>
  <c r="DZ17" i="1"/>
  <c r="DY17" i="1"/>
  <c r="DX17" i="1"/>
  <c r="DW17" i="1"/>
  <c r="DV17" i="1"/>
  <c r="DU17" i="1"/>
  <c r="DT17" i="1"/>
  <c r="DS17" i="1"/>
  <c r="DR17" i="1"/>
  <c r="EA16" i="1"/>
  <c r="DZ16" i="1"/>
  <c r="DY16" i="1"/>
  <c r="DX16" i="1"/>
  <c r="DW16" i="1"/>
  <c r="DV16" i="1"/>
  <c r="DU16" i="1"/>
  <c r="DT16" i="1"/>
  <c r="DS16" i="1"/>
  <c r="DR16" i="1"/>
  <c r="EA15" i="1"/>
  <c r="DZ15" i="1"/>
  <c r="DY15" i="1"/>
  <c r="DX15" i="1"/>
  <c r="DW15" i="1"/>
  <c r="DV15" i="1"/>
  <c r="DU15" i="1"/>
  <c r="DT15" i="1"/>
  <c r="DS15" i="1"/>
  <c r="DR15" i="1"/>
  <c r="EA14" i="1"/>
  <c r="DZ14" i="1"/>
  <c r="DY14" i="1"/>
  <c r="DX14" i="1"/>
  <c r="DW14" i="1"/>
  <c r="DV14" i="1"/>
  <c r="DU14" i="1"/>
  <c r="DT14" i="1"/>
  <c r="DS14" i="1"/>
  <c r="DR14" i="1"/>
  <c r="EA13" i="1"/>
  <c r="DZ13" i="1"/>
  <c r="DY13" i="1"/>
  <c r="DX13" i="1"/>
  <c r="DW13" i="1"/>
  <c r="DV13" i="1"/>
  <c r="DU13" i="1"/>
  <c r="DT13" i="1"/>
  <c r="DS13" i="1"/>
  <c r="DR13" i="1"/>
  <c r="EA12" i="1"/>
  <c r="DZ12" i="1"/>
  <c r="DY12" i="1"/>
  <c r="DX12" i="1"/>
  <c r="DW12" i="1"/>
  <c r="DV12" i="1"/>
  <c r="DU12" i="1"/>
  <c r="DT12" i="1"/>
  <c r="DS12" i="1"/>
  <c r="DR12" i="1"/>
  <c r="EA11" i="1"/>
  <c r="DZ11" i="1"/>
  <c r="DY11" i="1"/>
  <c r="DX11" i="1"/>
  <c r="DW11" i="1"/>
  <c r="DV11" i="1"/>
  <c r="DU11" i="1"/>
  <c r="DT11" i="1"/>
  <c r="DS11" i="1"/>
  <c r="DR11" i="1"/>
  <c r="EA10" i="1"/>
  <c r="DZ10" i="1"/>
  <c r="DY10" i="1"/>
  <c r="DX10" i="1"/>
  <c r="DW10" i="1"/>
  <c r="DV10" i="1"/>
  <c r="DU10" i="1"/>
  <c r="DT10" i="1"/>
  <c r="DS10" i="1"/>
  <c r="DR10" i="1"/>
  <c r="EA9" i="1"/>
  <c r="DZ9" i="1"/>
  <c r="DY9" i="1"/>
  <c r="DX9" i="1"/>
  <c r="DW9" i="1"/>
  <c r="DV9" i="1"/>
  <c r="DU9" i="1"/>
  <c r="DT9" i="1"/>
  <c r="DS9" i="1"/>
  <c r="DR9" i="1"/>
  <c r="EA8" i="1"/>
  <c r="DZ8" i="1"/>
  <c r="DY8" i="1"/>
  <c r="DX8" i="1"/>
  <c r="DW8" i="1"/>
  <c r="DV8" i="1"/>
  <c r="DU8" i="1"/>
  <c r="DT8" i="1"/>
  <c r="DS8" i="1"/>
  <c r="DR8" i="1"/>
  <c r="EA7" i="1"/>
  <c r="DZ7" i="1"/>
  <c r="DY7" i="1"/>
  <c r="DX7" i="1"/>
  <c r="DW7" i="1"/>
  <c r="DV7" i="1"/>
  <c r="DU7" i="1"/>
  <c r="DT7" i="1"/>
  <c r="DS7" i="1"/>
  <c r="DR7" i="1"/>
  <c r="EA6" i="1"/>
  <c r="DZ6" i="1"/>
  <c r="DY6" i="1"/>
  <c r="DX6" i="1"/>
  <c r="DW6" i="1"/>
  <c r="DV6" i="1"/>
  <c r="DU6" i="1"/>
  <c r="DT6" i="1"/>
  <c r="DS6" i="1"/>
  <c r="DR6" i="1"/>
  <c r="EA5" i="1"/>
  <c r="DZ5" i="1"/>
  <c r="DY5" i="1"/>
  <c r="DX5" i="1"/>
  <c r="DW5" i="1"/>
  <c r="DV5" i="1"/>
  <c r="DU5" i="1"/>
  <c r="DT5" i="1"/>
  <c r="DS5" i="1"/>
  <c r="DR5" i="1"/>
  <c r="EA4" i="1"/>
  <c r="DZ4" i="1"/>
  <c r="DY4" i="1"/>
  <c r="DX4" i="1"/>
  <c r="DW4" i="1"/>
  <c r="DV4" i="1"/>
  <c r="DU4" i="1"/>
  <c r="DT4" i="1"/>
  <c r="DS4" i="1"/>
  <c r="DR4" i="1"/>
</calcChain>
</file>

<file path=xl/sharedStrings.xml><?xml version="1.0" encoding="utf-8"?>
<sst xmlns="http://schemas.openxmlformats.org/spreadsheetml/2006/main" count="181" uniqueCount="84">
  <si>
    <t>ЖУРНАЛ УЧЁТА ОЦЕНОК — модуль ИКТ (ООМ 2, 96 ч, зачёт).  Специальность: Разработчик программного обеспечения (4S06130103).  Группа: __________  Уч. год: 20__/20__</t>
  </si>
  <si>
    <t>ТЕСТЫ (0–100; «н» = пропуск)</t>
  </si>
  <si>
    <t>ПРАКТИКА (задание + устная защита)</t>
  </si>
  <si>
    <t>СРС</t>
  </si>
  <si>
    <t>ПРОЕКТ (зан. 38–39)</t>
  </si>
  <si>
    <t>ИТОГ (считается автоматически)</t>
  </si>
  <si>
    <t>№</t>
  </si>
  <si>
    <t>ФИО студента</t>
  </si>
  <si>
    <t>З01</t>
  </si>
  <si>
    <t>З02</t>
  </si>
  <si>
    <t>З03</t>
  </si>
  <si>
    <t>З04</t>
  </si>
  <si>
    <t>З05</t>
  </si>
  <si>
    <t>З06</t>
  </si>
  <si>
    <t>З07</t>
  </si>
  <si>
    <t>З08</t>
  </si>
  <si>
    <t>З09</t>
  </si>
  <si>
    <t>З10</t>
  </si>
  <si>
    <t>З11</t>
  </si>
  <si>
    <t>З12</t>
  </si>
  <si>
    <t>З13</t>
  </si>
  <si>
    <t>З14</t>
  </si>
  <si>
    <t>З15</t>
  </si>
  <si>
    <t>З16</t>
  </si>
  <si>
    <t>З17</t>
  </si>
  <si>
    <t>З18</t>
  </si>
  <si>
    <t>З19</t>
  </si>
  <si>
    <t>З20</t>
  </si>
  <si>
    <t>З21</t>
  </si>
  <si>
    <t>З22</t>
  </si>
  <si>
    <t>З23</t>
  </si>
  <si>
    <t>З24</t>
  </si>
  <si>
    <t>З25</t>
  </si>
  <si>
    <t>З26</t>
  </si>
  <si>
    <t>З27</t>
  </si>
  <si>
    <t>З28</t>
  </si>
  <si>
    <t>З29</t>
  </si>
  <si>
    <t>З30</t>
  </si>
  <si>
    <t>З31</t>
  </si>
  <si>
    <t>З32</t>
  </si>
  <si>
    <t>З33</t>
  </si>
  <si>
    <t>З34</t>
  </si>
  <si>
    <t>З35</t>
  </si>
  <si>
    <t>З36</t>
  </si>
  <si>
    <t>З37</t>
  </si>
  <si>
    <t>З38</t>
  </si>
  <si>
    <t>З39</t>
  </si>
  <si>
    <t>Проект-38</t>
  </si>
  <si>
    <t>Защита-39</t>
  </si>
  <si>
    <t>Тесты %</t>
  </si>
  <si>
    <t>Практика %</t>
  </si>
  <si>
    <t>СРС %</t>
  </si>
  <si>
    <t>Проект %</t>
  </si>
  <si>
    <t>ИТОГ %</t>
  </si>
  <si>
    <t>Буква</t>
  </si>
  <si>
    <t>GPA</t>
  </si>
  <si>
    <t>5-балл</t>
  </si>
  <si>
    <t>Зачёт</t>
  </si>
  <si>
    <t>Рейтинг допуска %</t>
  </si>
  <si>
    <t>ШКАЛА A–F</t>
  </si>
  <si>
    <t>Порог %</t>
  </si>
  <si>
    <t>Традиционно</t>
  </si>
  <si>
    <t>Итог</t>
  </si>
  <si>
    <t>F</t>
  </si>
  <si>
    <t>Неудовлетворительно</t>
  </si>
  <si>
    <t>незачёт</t>
  </si>
  <si>
    <t>D</t>
  </si>
  <si>
    <t>Удовлетворительно</t>
  </si>
  <si>
    <t>зачёт</t>
  </si>
  <si>
    <t>D+</t>
  </si>
  <si>
    <t>C-</t>
  </si>
  <si>
    <t>C</t>
  </si>
  <si>
    <t>C+</t>
  </si>
  <si>
    <t>B-</t>
  </si>
  <si>
    <t>Хорошо</t>
  </si>
  <si>
    <t>B</t>
  </si>
  <si>
    <t>B+</t>
  </si>
  <si>
    <t>A-</t>
  </si>
  <si>
    <t>Отлично</t>
  </si>
  <si>
    <t>A</t>
  </si>
  <si>
    <t>ВЕС: практика 40 % · тесты 20 % · СРС 15 % · итоговый проект 25 %.  ИТОГ % = 0,2·Тесты + 0,4·Практика + 0,15·СРС + 0,25·Проект.  Порог зачёта — 50 %.</t>
  </si>
  <si>
    <t>КАК ВЕСТИ: в блоки «Тесты», «Практика», «СРС» ставьте оценку 0–100 в день занятия; пропуск — буква «н». Проект-38 и Защита-39 — в блоке «ПРОЕКТ». Остальное считается автоматически.</t>
  </si>
  <si>
    <t>AI-устойчивость: практические задания и проект засчитываются только с устной защитой/демонстрацией.</t>
  </si>
  <si>
    <t>Основа: приказы МОН/МП РК рег. № 5191 (правила аттестации ТиПО) и № 33330 (Приложение 14). Итоги переносятся в бланк «Бланк_Журнал_учета_ИКТ_...».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</si>
</sst>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CDDB-8610-4012-AB28-4FAA713D4C90}">
  <dimension ref="A1:EH34"/>
  <sheetViews>
    <sheetView tabSelected="1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/>
    </sheetView>
  </sheetViews>
  <sheetFormatPr defaultRowHeight="15" x14ac:dyDescent="0.25"/>
  <cols>
    <col min="1" max="1" width="5.7109375" customWidth="1"/>
    <col min="2" max="2" width="32.7109375" customWidth="1"/>
    <col min="3" max="121" width="5.28515625" customWidth="1"/>
    <col min="122" max="131" width="10.7109375" customWidth="1"/>
    <col min="133" max="138" width="12.7109375" customWidth="1"/>
  </cols>
  <sheetData>
    <row r="1" spans="1:138" ht="15.75" x14ac:dyDescent="0.25">
      <c r="A1" s="2" t="s">
        <v>0</v>
      </c>
    </row>
    <row r="2" spans="1:138" x14ac:dyDescent="0.25"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3" t="s">
        <v>2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3" t="s">
        <v>3</v>
      </c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3" t="s">
        <v>4</v>
      </c>
      <c r="DQ2" s="4"/>
      <c r="DR2" s="3" t="s">
        <v>5</v>
      </c>
      <c r="DS2" s="4"/>
      <c r="DT2" s="4"/>
      <c r="DU2" s="4"/>
      <c r="DV2" s="4"/>
      <c r="DW2" s="4"/>
      <c r="DX2" s="4"/>
      <c r="DY2" s="4"/>
      <c r="DZ2" s="4"/>
      <c r="EA2" s="4"/>
      <c r="EC2" t="s">
        <v>59</v>
      </c>
    </row>
    <row r="3" spans="1:138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  <c r="S3" s="1" t="s">
        <v>24</v>
      </c>
      <c r="T3" s="1" t="s">
        <v>25</v>
      </c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 t="s">
        <v>31</v>
      </c>
      <c r="AA3" s="1" t="s">
        <v>32</v>
      </c>
      <c r="AB3" s="1" t="s">
        <v>33</v>
      </c>
      <c r="AC3" s="1" t="s">
        <v>34</v>
      </c>
      <c r="AD3" s="1" t="s">
        <v>35</v>
      </c>
      <c r="AE3" s="1" t="s">
        <v>36</v>
      </c>
      <c r="AF3" s="1" t="s">
        <v>37</v>
      </c>
      <c r="AG3" s="1" t="s">
        <v>38</v>
      </c>
      <c r="AH3" s="1" t="s">
        <v>39</v>
      </c>
      <c r="AI3" s="1" t="s">
        <v>40</v>
      </c>
      <c r="AJ3" s="1" t="s">
        <v>41</v>
      </c>
      <c r="AK3" s="1" t="s">
        <v>42</v>
      </c>
      <c r="AL3" s="1" t="s">
        <v>43</v>
      </c>
      <c r="AM3" s="1" t="s">
        <v>44</v>
      </c>
      <c r="AN3" s="1" t="s">
        <v>45</v>
      </c>
      <c r="AO3" s="1" t="s">
        <v>46</v>
      </c>
      <c r="AP3" s="1" t="s">
        <v>8</v>
      </c>
      <c r="AQ3" s="1" t="s">
        <v>9</v>
      </c>
      <c r="AR3" s="1" t="s">
        <v>10</v>
      </c>
      <c r="AS3" s="1" t="s">
        <v>11</v>
      </c>
      <c r="AT3" s="1" t="s">
        <v>12</v>
      </c>
      <c r="AU3" s="1" t="s">
        <v>13</v>
      </c>
      <c r="AV3" s="1" t="s">
        <v>14</v>
      </c>
      <c r="AW3" s="1" t="s">
        <v>15</v>
      </c>
      <c r="AX3" s="1" t="s">
        <v>16</v>
      </c>
      <c r="AY3" s="1" t="s">
        <v>17</v>
      </c>
      <c r="AZ3" s="1" t="s">
        <v>18</v>
      </c>
      <c r="BA3" s="1" t="s">
        <v>19</v>
      </c>
      <c r="BB3" s="1" t="s">
        <v>20</v>
      </c>
      <c r="BC3" s="1" t="s">
        <v>21</v>
      </c>
      <c r="BD3" s="1" t="s">
        <v>22</v>
      </c>
      <c r="BE3" s="1" t="s">
        <v>23</v>
      </c>
      <c r="BF3" s="1" t="s">
        <v>24</v>
      </c>
      <c r="BG3" s="1" t="s">
        <v>25</v>
      </c>
      <c r="BH3" s="1" t="s">
        <v>26</v>
      </c>
      <c r="BI3" s="1" t="s">
        <v>27</v>
      </c>
      <c r="BJ3" s="1" t="s">
        <v>28</v>
      </c>
      <c r="BK3" s="1" t="s">
        <v>29</v>
      </c>
      <c r="BL3" s="1" t="s">
        <v>30</v>
      </c>
      <c r="BM3" s="1" t="s">
        <v>31</v>
      </c>
      <c r="BN3" s="1" t="s">
        <v>32</v>
      </c>
      <c r="BO3" s="1" t="s">
        <v>33</v>
      </c>
      <c r="BP3" s="1" t="s">
        <v>34</v>
      </c>
      <c r="BQ3" s="1" t="s">
        <v>35</v>
      </c>
      <c r="BR3" s="1" t="s">
        <v>36</v>
      </c>
      <c r="BS3" s="1" t="s">
        <v>37</v>
      </c>
      <c r="BT3" s="1" t="s">
        <v>38</v>
      </c>
      <c r="BU3" s="1" t="s">
        <v>39</v>
      </c>
      <c r="BV3" s="1" t="s">
        <v>40</v>
      </c>
      <c r="BW3" s="1" t="s">
        <v>41</v>
      </c>
      <c r="BX3" s="1" t="s">
        <v>42</v>
      </c>
      <c r="BY3" s="1" t="s">
        <v>43</v>
      </c>
      <c r="BZ3" s="1" t="s">
        <v>44</v>
      </c>
      <c r="CA3" s="1" t="s">
        <v>45</v>
      </c>
      <c r="CB3" s="1" t="s">
        <v>46</v>
      </c>
      <c r="CC3" s="1" t="s">
        <v>8</v>
      </c>
      <c r="CD3" s="1" t="s">
        <v>9</v>
      </c>
      <c r="CE3" s="1" t="s">
        <v>10</v>
      </c>
      <c r="CF3" s="1" t="s">
        <v>11</v>
      </c>
      <c r="CG3" s="1" t="s">
        <v>12</v>
      </c>
      <c r="CH3" s="1" t="s">
        <v>13</v>
      </c>
      <c r="CI3" s="1" t="s">
        <v>14</v>
      </c>
      <c r="CJ3" s="1" t="s">
        <v>15</v>
      </c>
      <c r="CK3" s="1" t="s">
        <v>16</v>
      </c>
      <c r="CL3" s="1" t="s">
        <v>17</v>
      </c>
      <c r="CM3" s="1" t="s">
        <v>18</v>
      </c>
      <c r="CN3" s="1" t="s">
        <v>19</v>
      </c>
      <c r="CO3" s="1" t="s">
        <v>20</v>
      </c>
      <c r="CP3" s="1" t="s">
        <v>21</v>
      </c>
      <c r="CQ3" s="1" t="s">
        <v>22</v>
      </c>
      <c r="CR3" s="1" t="s">
        <v>23</v>
      </c>
      <c r="CS3" s="1" t="s">
        <v>24</v>
      </c>
      <c r="CT3" s="1" t="s">
        <v>25</v>
      </c>
      <c r="CU3" s="1" t="s">
        <v>26</v>
      </c>
      <c r="CV3" s="1" t="s">
        <v>27</v>
      </c>
      <c r="CW3" s="1" t="s">
        <v>28</v>
      </c>
      <c r="CX3" s="1" t="s">
        <v>29</v>
      </c>
      <c r="CY3" s="1" t="s">
        <v>30</v>
      </c>
      <c r="CZ3" s="1" t="s">
        <v>31</v>
      </c>
      <c r="DA3" s="1" t="s">
        <v>32</v>
      </c>
      <c r="DB3" s="1" t="s">
        <v>33</v>
      </c>
      <c r="DC3" s="1" t="s">
        <v>34</v>
      </c>
      <c r="DD3" s="1" t="s">
        <v>35</v>
      </c>
      <c r="DE3" s="1" t="s">
        <v>36</v>
      </c>
      <c r="DF3" s="1" t="s">
        <v>37</v>
      </c>
      <c r="DG3" s="1" t="s">
        <v>38</v>
      </c>
      <c r="DH3" s="1" t="s">
        <v>39</v>
      </c>
      <c r="DI3" s="1" t="s">
        <v>40</v>
      </c>
      <c r="DJ3" s="1" t="s">
        <v>41</v>
      </c>
      <c r="DK3" s="1" t="s">
        <v>42</v>
      </c>
      <c r="DL3" s="1" t="s">
        <v>43</v>
      </c>
      <c r="DM3" s="1" t="s">
        <v>44</v>
      </c>
      <c r="DN3" s="1" t="s">
        <v>45</v>
      </c>
      <c r="DO3" s="1" t="s">
        <v>46</v>
      </c>
      <c r="DP3" s="1" t="s">
        <v>47</v>
      </c>
      <c r="DQ3" s="1" t="s">
        <v>48</v>
      </c>
      <c r="DR3" s="1" t="s">
        <v>49</v>
      </c>
      <c r="DS3" s="1" t="s">
        <v>50</v>
      </c>
      <c r="DT3" s="1" t="s">
        <v>51</v>
      </c>
      <c r="DU3" s="1" t="s">
        <v>52</v>
      </c>
      <c r="DV3" s="1" t="s">
        <v>53</v>
      </c>
      <c r="DW3" s="1" t="s">
        <v>54</v>
      </c>
      <c r="DX3" s="1" t="s">
        <v>55</v>
      </c>
      <c r="DY3" s="1" t="s">
        <v>56</v>
      </c>
      <c r="DZ3" s="1" t="s">
        <v>57</v>
      </c>
      <c r="EA3" s="1" t="s">
        <v>58</v>
      </c>
      <c r="EC3" s="1" t="s">
        <v>60</v>
      </c>
      <c r="ED3" s="1" t="s">
        <v>54</v>
      </c>
      <c r="EE3" s="1" t="s">
        <v>55</v>
      </c>
      <c r="EF3" s="1" t="s">
        <v>56</v>
      </c>
      <c r="EG3" s="1" t="s">
        <v>61</v>
      </c>
      <c r="EH3" s="1" t="s">
        <v>62</v>
      </c>
    </row>
    <row r="4" spans="1:138" x14ac:dyDescent="0.25">
      <c r="A4">
        <v>1</v>
      </c>
      <c r="DR4" t="str">
        <f>IFERROR(AVERAGE(C4:AO4),"")</f>
        <v/>
      </c>
      <c r="DS4" t="str">
        <f>IFERROR(AVERAGE(AP4:CB4),"")</f>
        <v/>
      </c>
      <c r="DT4" t="str">
        <f>IFERROR(AVERAGE(CC4:DO4),"")</f>
        <v/>
      </c>
      <c r="DU4" t="str">
        <f>IFERROR(AVERAGE(DP4:DQ4),"")</f>
        <v/>
      </c>
      <c r="DV4">
        <f>0.2*N(DR4)+0.4*N(DS4)+0.15*N(DT4)+0.25*N(DU4)</f>
        <v>0</v>
      </c>
      <c r="DW4" t="str">
        <f>IFERROR(VLOOKUP(DV4,$EC$4:$EH$14,2,TRUE),"")</f>
        <v>F</v>
      </c>
      <c r="DX4">
        <f>IFERROR(VLOOKUP(DV4,$EC$4:$EH$14,3,TRUE),"")</f>
        <v>0</v>
      </c>
      <c r="DY4">
        <f>IFERROR(VLOOKUP(DV4,$EC$4:$EH$14,4,TRUE),"")</f>
        <v>2</v>
      </c>
      <c r="DZ4" t="str">
        <f>IF(DV4&gt;=50,"зачёт","незачёт")</f>
        <v>незачёт</v>
      </c>
      <c r="EA4">
        <f>IFERROR((0.2*N(DR4)+0.4*N(DS4)+0.15*N(DT4))/0.75,"")</f>
        <v>0</v>
      </c>
      <c r="EC4">
        <v>0</v>
      </c>
      <c r="ED4" t="s">
        <v>63</v>
      </c>
      <c r="EE4">
        <v>0</v>
      </c>
      <c r="EF4">
        <v>2</v>
      </c>
      <c r="EG4" t="s">
        <v>64</v>
      </c>
      <c r="EH4" t="s">
        <v>65</v>
      </c>
    </row>
    <row r="5" spans="1:138" x14ac:dyDescent="0.25">
      <c r="A5">
        <v>2</v>
      </c>
      <c r="DR5" t="str">
        <f>IFERROR(AVERAGE(C5:AO5),"")</f>
        <v/>
      </c>
      <c r="DS5" t="str">
        <f>IFERROR(AVERAGE(AP5:CB5),"")</f>
        <v/>
      </c>
      <c r="DT5" t="str">
        <f>IFERROR(AVERAGE(CC5:DO5),"")</f>
        <v/>
      </c>
      <c r="DU5" t="str">
        <f>IFERROR(AVERAGE(DP5:DQ5),"")</f>
        <v/>
      </c>
      <c r="DV5">
        <f>0.2*N(DR5)+0.4*N(DS5)+0.15*N(DT5)+0.25*N(DU5)</f>
        <v>0</v>
      </c>
      <c r="DW5" t="str">
        <f>IFERROR(VLOOKUP(DV5,$EC$4:$EH$14,2,TRUE),"")</f>
        <v>F</v>
      </c>
      <c r="DX5">
        <f>IFERROR(VLOOKUP(DV5,$EC$4:$EH$14,3,TRUE),"")</f>
        <v>0</v>
      </c>
      <c r="DY5">
        <f>IFERROR(VLOOKUP(DV5,$EC$4:$EH$14,4,TRUE),"")</f>
        <v>2</v>
      </c>
      <c r="DZ5" t="str">
        <f>IF(DV5&gt;=50,"зачёт","незачёт")</f>
        <v>незачёт</v>
      </c>
      <c r="EA5">
        <f>IFERROR((0.2*N(DR5)+0.4*N(DS5)+0.15*N(DT5))/0.75,"")</f>
        <v>0</v>
      </c>
      <c r="EC5">
        <v>50</v>
      </c>
      <c r="ED5" t="s">
        <v>66</v>
      </c>
      <c r="EE5">
        <v>1</v>
      </c>
      <c r="EF5">
        <v>3</v>
      </c>
      <c r="EG5" t="s">
        <v>67</v>
      </c>
      <c r="EH5" t="s">
        <v>68</v>
      </c>
    </row>
    <row r="6" spans="1:138" x14ac:dyDescent="0.25">
      <c r="A6">
        <v>3</v>
      </c>
      <c r="DR6" t="str">
        <f>IFERROR(AVERAGE(C6:AO6),"")</f>
        <v/>
      </c>
      <c r="DS6" t="str">
        <f>IFERROR(AVERAGE(AP6:CB6),"")</f>
        <v/>
      </c>
      <c r="DT6" t="str">
        <f>IFERROR(AVERAGE(CC6:DO6),"")</f>
        <v/>
      </c>
      <c r="DU6" t="str">
        <f>IFERROR(AVERAGE(DP6:DQ6),"")</f>
        <v/>
      </c>
      <c r="DV6">
        <f>0.2*N(DR6)+0.4*N(DS6)+0.15*N(DT6)+0.25*N(DU6)</f>
        <v>0</v>
      </c>
      <c r="DW6" t="str">
        <f>IFERROR(VLOOKUP(DV6,$EC$4:$EH$14,2,TRUE),"")</f>
        <v>F</v>
      </c>
      <c r="DX6">
        <f>IFERROR(VLOOKUP(DV6,$EC$4:$EH$14,3,TRUE),"")</f>
        <v>0</v>
      </c>
      <c r="DY6">
        <f>IFERROR(VLOOKUP(DV6,$EC$4:$EH$14,4,TRUE),"")</f>
        <v>2</v>
      </c>
      <c r="DZ6" t="str">
        <f>IF(DV6&gt;=50,"зачёт","незачёт")</f>
        <v>незачёт</v>
      </c>
      <c r="EA6">
        <f>IFERROR((0.2*N(DR6)+0.4*N(DS6)+0.15*N(DT6))/0.75,"")</f>
        <v>0</v>
      </c>
      <c r="EC6">
        <v>55</v>
      </c>
      <c r="ED6" t="s">
        <v>69</v>
      </c>
      <c r="EE6">
        <v>1.33</v>
      </c>
      <c r="EF6">
        <v>3</v>
      </c>
      <c r="EG6" t="s">
        <v>67</v>
      </c>
      <c r="EH6" t="s">
        <v>68</v>
      </c>
    </row>
    <row r="7" spans="1:138" x14ac:dyDescent="0.25">
      <c r="A7">
        <v>4</v>
      </c>
      <c r="DR7" t="str">
        <f>IFERROR(AVERAGE(C7:AO7),"")</f>
        <v/>
      </c>
      <c r="DS7" t="str">
        <f>IFERROR(AVERAGE(AP7:CB7),"")</f>
        <v/>
      </c>
      <c r="DT7" t="str">
        <f>IFERROR(AVERAGE(CC7:DO7),"")</f>
        <v/>
      </c>
      <c r="DU7" t="str">
        <f>IFERROR(AVERAGE(DP7:DQ7),"")</f>
        <v/>
      </c>
      <c r="DV7">
        <f>0.2*N(DR7)+0.4*N(DS7)+0.15*N(DT7)+0.25*N(DU7)</f>
        <v>0</v>
      </c>
      <c r="DW7" t="str">
        <f>IFERROR(VLOOKUP(DV7,$EC$4:$EH$14,2,TRUE),"")</f>
        <v>F</v>
      </c>
      <c r="DX7">
        <f>IFERROR(VLOOKUP(DV7,$EC$4:$EH$14,3,TRUE),"")</f>
        <v>0</v>
      </c>
      <c r="DY7">
        <f>IFERROR(VLOOKUP(DV7,$EC$4:$EH$14,4,TRUE),"")</f>
        <v>2</v>
      </c>
      <c r="DZ7" t="str">
        <f>IF(DV7&gt;=50,"зачёт","незачёт")</f>
        <v>незачёт</v>
      </c>
      <c r="EA7">
        <f>IFERROR((0.2*N(DR7)+0.4*N(DS7)+0.15*N(DT7))/0.75,"")</f>
        <v>0</v>
      </c>
      <c r="EC7">
        <v>60</v>
      </c>
      <c r="ED7" t="s">
        <v>70</v>
      </c>
      <c r="EE7">
        <v>1.67</v>
      </c>
      <c r="EF7">
        <v>3</v>
      </c>
      <c r="EG7" t="s">
        <v>67</v>
      </c>
      <c r="EH7" t="s">
        <v>68</v>
      </c>
    </row>
    <row r="8" spans="1:138" x14ac:dyDescent="0.25">
      <c r="A8">
        <v>5</v>
      </c>
      <c r="DR8" t="str">
        <f>IFERROR(AVERAGE(C8:AO8),"")</f>
        <v/>
      </c>
      <c r="DS8" t="str">
        <f>IFERROR(AVERAGE(AP8:CB8),"")</f>
        <v/>
      </c>
      <c r="DT8" t="str">
        <f>IFERROR(AVERAGE(CC8:DO8),"")</f>
        <v/>
      </c>
      <c r="DU8" t="str">
        <f>IFERROR(AVERAGE(DP8:DQ8),"")</f>
        <v/>
      </c>
      <c r="DV8">
        <f>0.2*N(DR8)+0.4*N(DS8)+0.15*N(DT8)+0.25*N(DU8)</f>
        <v>0</v>
      </c>
      <c r="DW8" t="str">
        <f>IFERROR(VLOOKUP(DV8,$EC$4:$EH$14,2,TRUE),"")</f>
        <v>F</v>
      </c>
      <c r="DX8">
        <f>IFERROR(VLOOKUP(DV8,$EC$4:$EH$14,3,TRUE),"")</f>
        <v>0</v>
      </c>
      <c r="DY8">
        <f>IFERROR(VLOOKUP(DV8,$EC$4:$EH$14,4,TRUE),"")</f>
        <v>2</v>
      </c>
      <c r="DZ8" t="str">
        <f>IF(DV8&gt;=50,"зачёт","незачёт")</f>
        <v>незачёт</v>
      </c>
      <c r="EA8">
        <f>IFERROR((0.2*N(DR8)+0.4*N(DS8)+0.15*N(DT8))/0.75,"")</f>
        <v>0</v>
      </c>
      <c r="EC8">
        <v>65</v>
      </c>
      <c r="ED8" t="s">
        <v>71</v>
      </c>
      <c r="EE8">
        <v>2</v>
      </c>
      <c r="EF8">
        <v>3</v>
      </c>
      <c r="EG8" t="s">
        <v>67</v>
      </c>
      <c r="EH8" t="s">
        <v>68</v>
      </c>
    </row>
    <row r="9" spans="1:138" x14ac:dyDescent="0.25">
      <c r="A9">
        <v>6</v>
      </c>
      <c r="DR9" t="str">
        <f>IFERROR(AVERAGE(C9:AO9),"")</f>
        <v/>
      </c>
      <c r="DS9" t="str">
        <f>IFERROR(AVERAGE(AP9:CB9),"")</f>
        <v/>
      </c>
      <c r="DT9" t="str">
        <f>IFERROR(AVERAGE(CC9:DO9),"")</f>
        <v/>
      </c>
      <c r="DU9" t="str">
        <f>IFERROR(AVERAGE(DP9:DQ9),"")</f>
        <v/>
      </c>
      <c r="DV9">
        <f>0.2*N(DR9)+0.4*N(DS9)+0.15*N(DT9)+0.25*N(DU9)</f>
        <v>0</v>
      </c>
      <c r="DW9" t="str">
        <f>IFERROR(VLOOKUP(DV9,$EC$4:$EH$14,2,TRUE),"")</f>
        <v>F</v>
      </c>
      <c r="DX9">
        <f>IFERROR(VLOOKUP(DV9,$EC$4:$EH$14,3,TRUE),"")</f>
        <v>0</v>
      </c>
      <c r="DY9">
        <f>IFERROR(VLOOKUP(DV9,$EC$4:$EH$14,4,TRUE),"")</f>
        <v>2</v>
      </c>
      <c r="DZ9" t="str">
        <f>IF(DV9&gt;=50,"зачёт","незачёт")</f>
        <v>незачёт</v>
      </c>
      <c r="EA9">
        <f>IFERROR((0.2*N(DR9)+0.4*N(DS9)+0.15*N(DT9))/0.75,"")</f>
        <v>0</v>
      </c>
      <c r="EC9">
        <v>70</v>
      </c>
      <c r="ED9" t="s">
        <v>72</v>
      </c>
      <c r="EE9">
        <v>2.33</v>
      </c>
      <c r="EF9">
        <v>3</v>
      </c>
      <c r="EG9" t="s">
        <v>67</v>
      </c>
      <c r="EH9" t="s">
        <v>68</v>
      </c>
    </row>
    <row r="10" spans="1:138" x14ac:dyDescent="0.25">
      <c r="A10">
        <v>7</v>
      </c>
      <c r="DR10" t="str">
        <f>IFERROR(AVERAGE(C10:AO10),"")</f>
        <v/>
      </c>
      <c r="DS10" t="str">
        <f>IFERROR(AVERAGE(AP10:CB10),"")</f>
        <v/>
      </c>
      <c r="DT10" t="str">
        <f>IFERROR(AVERAGE(CC10:DO10),"")</f>
        <v/>
      </c>
      <c r="DU10" t="str">
        <f>IFERROR(AVERAGE(DP10:DQ10),"")</f>
        <v/>
      </c>
      <c r="DV10">
        <f>0.2*N(DR10)+0.4*N(DS10)+0.15*N(DT10)+0.25*N(DU10)</f>
        <v>0</v>
      </c>
      <c r="DW10" t="str">
        <f>IFERROR(VLOOKUP(DV10,$EC$4:$EH$14,2,TRUE),"")</f>
        <v>F</v>
      </c>
      <c r="DX10">
        <f>IFERROR(VLOOKUP(DV10,$EC$4:$EH$14,3,TRUE),"")</f>
        <v>0</v>
      </c>
      <c r="DY10">
        <f>IFERROR(VLOOKUP(DV10,$EC$4:$EH$14,4,TRUE),"")</f>
        <v>2</v>
      </c>
      <c r="DZ10" t="str">
        <f>IF(DV10&gt;=50,"зачёт","незачёт")</f>
        <v>незачёт</v>
      </c>
      <c r="EA10">
        <f>IFERROR((0.2*N(DR10)+0.4*N(DS10)+0.15*N(DT10))/0.75,"")</f>
        <v>0</v>
      </c>
      <c r="EC10">
        <v>75</v>
      </c>
      <c r="ED10" t="s">
        <v>73</v>
      </c>
      <c r="EE10">
        <v>2.67</v>
      </c>
      <c r="EF10">
        <v>4</v>
      </c>
      <c r="EG10" t="s">
        <v>74</v>
      </c>
      <c r="EH10" t="s">
        <v>68</v>
      </c>
    </row>
    <row r="11" spans="1:138" x14ac:dyDescent="0.25">
      <c r="A11">
        <v>8</v>
      </c>
      <c r="DR11" t="str">
        <f>IFERROR(AVERAGE(C11:AO11),"")</f>
        <v/>
      </c>
      <c r="DS11" t="str">
        <f>IFERROR(AVERAGE(AP11:CB11),"")</f>
        <v/>
      </c>
      <c r="DT11" t="str">
        <f>IFERROR(AVERAGE(CC11:DO11),"")</f>
        <v/>
      </c>
      <c r="DU11" t="str">
        <f>IFERROR(AVERAGE(DP11:DQ11),"")</f>
        <v/>
      </c>
      <c r="DV11">
        <f>0.2*N(DR11)+0.4*N(DS11)+0.15*N(DT11)+0.25*N(DU11)</f>
        <v>0</v>
      </c>
      <c r="DW11" t="str">
        <f>IFERROR(VLOOKUP(DV11,$EC$4:$EH$14,2,TRUE),"")</f>
        <v>F</v>
      </c>
      <c r="DX11">
        <f>IFERROR(VLOOKUP(DV11,$EC$4:$EH$14,3,TRUE),"")</f>
        <v>0</v>
      </c>
      <c r="DY11">
        <f>IFERROR(VLOOKUP(DV11,$EC$4:$EH$14,4,TRUE),"")</f>
        <v>2</v>
      </c>
      <c r="DZ11" t="str">
        <f>IF(DV11&gt;=50,"зачёт","незачёт")</f>
        <v>незачёт</v>
      </c>
      <c r="EA11">
        <f>IFERROR((0.2*N(DR11)+0.4*N(DS11)+0.15*N(DT11))/0.75,"")</f>
        <v>0</v>
      </c>
      <c r="EC11">
        <v>80</v>
      </c>
      <c r="ED11" t="s">
        <v>75</v>
      </c>
      <c r="EE11">
        <v>3</v>
      </c>
      <c r="EF11">
        <v>4</v>
      </c>
      <c r="EG11" t="s">
        <v>74</v>
      </c>
      <c r="EH11" t="s">
        <v>68</v>
      </c>
    </row>
    <row r="12" spans="1:138" x14ac:dyDescent="0.25">
      <c r="A12">
        <v>9</v>
      </c>
      <c r="DR12" t="str">
        <f>IFERROR(AVERAGE(C12:AO12),"")</f>
        <v/>
      </c>
      <c r="DS12" t="str">
        <f>IFERROR(AVERAGE(AP12:CB12),"")</f>
        <v/>
      </c>
      <c r="DT12" t="str">
        <f>IFERROR(AVERAGE(CC12:DO12),"")</f>
        <v/>
      </c>
      <c r="DU12" t="str">
        <f>IFERROR(AVERAGE(DP12:DQ12),"")</f>
        <v/>
      </c>
      <c r="DV12">
        <f>0.2*N(DR12)+0.4*N(DS12)+0.15*N(DT12)+0.25*N(DU12)</f>
        <v>0</v>
      </c>
      <c r="DW12" t="str">
        <f>IFERROR(VLOOKUP(DV12,$EC$4:$EH$14,2,TRUE),"")</f>
        <v>F</v>
      </c>
      <c r="DX12">
        <f>IFERROR(VLOOKUP(DV12,$EC$4:$EH$14,3,TRUE),"")</f>
        <v>0</v>
      </c>
      <c r="DY12">
        <f>IFERROR(VLOOKUP(DV12,$EC$4:$EH$14,4,TRUE),"")</f>
        <v>2</v>
      </c>
      <c r="DZ12" t="str">
        <f>IF(DV12&gt;=50,"зачёт","незачёт")</f>
        <v>незачёт</v>
      </c>
      <c r="EA12">
        <f>IFERROR((0.2*N(DR12)+0.4*N(DS12)+0.15*N(DT12))/0.75,"")</f>
        <v>0</v>
      </c>
      <c r="EC12">
        <v>85</v>
      </c>
      <c r="ED12" t="s">
        <v>76</v>
      </c>
      <c r="EE12">
        <v>3.33</v>
      </c>
      <c r="EF12">
        <v>4</v>
      </c>
      <c r="EG12" t="s">
        <v>74</v>
      </c>
      <c r="EH12" t="s">
        <v>68</v>
      </c>
    </row>
    <row r="13" spans="1:138" x14ac:dyDescent="0.25">
      <c r="A13">
        <v>10</v>
      </c>
      <c r="DR13" t="str">
        <f>IFERROR(AVERAGE(C13:AO13),"")</f>
        <v/>
      </c>
      <c r="DS13" t="str">
        <f>IFERROR(AVERAGE(AP13:CB13),"")</f>
        <v/>
      </c>
      <c r="DT13" t="str">
        <f>IFERROR(AVERAGE(CC13:DO13),"")</f>
        <v/>
      </c>
      <c r="DU13" t="str">
        <f>IFERROR(AVERAGE(DP13:DQ13),"")</f>
        <v/>
      </c>
      <c r="DV13">
        <f>0.2*N(DR13)+0.4*N(DS13)+0.15*N(DT13)+0.25*N(DU13)</f>
        <v>0</v>
      </c>
      <c r="DW13" t="str">
        <f>IFERROR(VLOOKUP(DV13,$EC$4:$EH$14,2,TRUE),"")</f>
        <v>F</v>
      </c>
      <c r="DX13">
        <f>IFERROR(VLOOKUP(DV13,$EC$4:$EH$14,3,TRUE),"")</f>
        <v>0</v>
      </c>
      <c r="DY13">
        <f>IFERROR(VLOOKUP(DV13,$EC$4:$EH$14,4,TRUE),"")</f>
        <v>2</v>
      </c>
      <c r="DZ13" t="str">
        <f>IF(DV13&gt;=50,"зачёт","незачёт")</f>
        <v>незачёт</v>
      </c>
      <c r="EA13">
        <f>IFERROR((0.2*N(DR13)+0.4*N(DS13)+0.15*N(DT13))/0.75,"")</f>
        <v>0</v>
      </c>
      <c r="EC13">
        <v>90</v>
      </c>
      <c r="ED13" t="s">
        <v>77</v>
      </c>
      <c r="EE13">
        <v>3.67</v>
      </c>
      <c r="EF13">
        <v>5</v>
      </c>
      <c r="EG13" t="s">
        <v>78</v>
      </c>
      <c r="EH13" t="s">
        <v>68</v>
      </c>
    </row>
    <row r="14" spans="1:138" x14ac:dyDescent="0.25">
      <c r="A14">
        <v>11</v>
      </c>
      <c r="DR14" t="str">
        <f>IFERROR(AVERAGE(C14:AO14),"")</f>
        <v/>
      </c>
      <c r="DS14" t="str">
        <f>IFERROR(AVERAGE(AP14:CB14),"")</f>
        <v/>
      </c>
      <c r="DT14" t="str">
        <f>IFERROR(AVERAGE(CC14:DO14),"")</f>
        <v/>
      </c>
      <c r="DU14" t="str">
        <f>IFERROR(AVERAGE(DP14:DQ14),"")</f>
        <v/>
      </c>
      <c r="DV14">
        <f>0.2*N(DR14)+0.4*N(DS14)+0.15*N(DT14)+0.25*N(DU14)</f>
        <v>0</v>
      </c>
      <c r="DW14" t="str">
        <f>IFERROR(VLOOKUP(DV14,$EC$4:$EH$14,2,TRUE),"")</f>
        <v>F</v>
      </c>
      <c r="DX14">
        <f>IFERROR(VLOOKUP(DV14,$EC$4:$EH$14,3,TRUE),"")</f>
        <v>0</v>
      </c>
      <c r="DY14">
        <f>IFERROR(VLOOKUP(DV14,$EC$4:$EH$14,4,TRUE),"")</f>
        <v>2</v>
      </c>
      <c r="DZ14" t="str">
        <f>IF(DV14&gt;=50,"зачёт","незачёт")</f>
        <v>незачёт</v>
      </c>
      <c r="EA14">
        <f>IFERROR((0.2*N(DR14)+0.4*N(DS14)+0.15*N(DT14))/0.75,"")</f>
        <v>0</v>
      </c>
      <c r="EC14">
        <v>95</v>
      </c>
      <c r="ED14" t="s">
        <v>79</v>
      </c>
      <c r="EE14">
        <v>4</v>
      </c>
      <c r="EF14">
        <v>5</v>
      </c>
      <c r="EG14" t="s">
        <v>78</v>
      </c>
      <c r="EH14" t="s">
        <v>68</v>
      </c>
    </row>
    <row r="15" spans="1:138" x14ac:dyDescent="0.25">
      <c r="A15">
        <v>12</v>
      </c>
      <c r="DR15" t="str">
        <f>IFERROR(AVERAGE(C15:AO15),"")</f>
        <v/>
      </c>
      <c r="DS15" t="str">
        <f>IFERROR(AVERAGE(AP15:CB15),"")</f>
        <v/>
      </c>
      <c r="DT15" t="str">
        <f>IFERROR(AVERAGE(CC15:DO15),"")</f>
        <v/>
      </c>
      <c r="DU15" t="str">
        <f>IFERROR(AVERAGE(DP15:DQ15),"")</f>
        <v/>
      </c>
      <c r="DV15">
        <f>0.2*N(DR15)+0.4*N(DS15)+0.15*N(DT15)+0.25*N(DU15)</f>
        <v>0</v>
      </c>
      <c r="DW15" t="str">
        <f>IFERROR(VLOOKUP(DV15,$EC$4:$EH$14,2,TRUE),"")</f>
        <v>F</v>
      </c>
      <c r="DX15">
        <f>IFERROR(VLOOKUP(DV15,$EC$4:$EH$14,3,TRUE),"")</f>
        <v>0</v>
      </c>
      <c r="DY15">
        <f>IFERROR(VLOOKUP(DV15,$EC$4:$EH$14,4,TRUE),"")</f>
        <v>2</v>
      </c>
      <c r="DZ15" t="str">
        <f>IF(DV15&gt;=50,"зачёт","незачёт")</f>
        <v>незачёт</v>
      </c>
      <c r="EA15">
        <f>IFERROR((0.2*N(DR15)+0.4*N(DS15)+0.15*N(DT15))/0.75,"")</f>
        <v>0</v>
      </c>
    </row>
    <row r="16" spans="1:138" x14ac:dyDescent="0.25">
      <c r="A16">
        <v>13</v>
      </c>
      <c r="DR16" t="str">
        <f>IFERROR(AVERAGE(C16:AO16),"")</f>
        <v/>
      </c>
      <c r="DS16" t="str">
        <f>IFERROR(AVERAGE(AP16:CB16),"")</f>
        <v/>
      </c>
      <c r="DT16" t="str">
        <f>IFERROR(AVERAGE(CC16:DO16),"")</f>
        <v/>
      </c>
      <c r="DU16" t="str">
        <f>IFERROR(AVERAGE(DP16:DQ16),"")</f>
        <v/>
      </c>
      <c r="DV16">
        <f>0.2*N(DR16)+0.4*N(DS16)+0.15*N(DT16)+0.25*N(DU16)</f>
        <v>0</v>
      </c>
      <c r="DW16" t="str">
        <f>IFERROR(VLOOKUP(DV16,$EC$4:$EH$14,2,TRUE),"")</f>
        <v>F</v>
      </c>
      <c r="DX16">
        <f>IFERROR(VLOOKUP(DV16,$EC$4:$EH$14,3,TRUE),"")</f>
        <v>0</v>
      </c>
      <c r="DY16">
        <f>IFERROR(VLOOKUP(DV16,$EC$4:$EH$14,4,TRUE),"")</f>
        <v>2</v>
      </c>
      <c r="DZ16" t="str">
        <f>IF(DV16&gt;=50,"зачёт","незачёт")</f>
        <v>незачёт</v>
      </c>
      <c r="EA16">
        <f>IFERROR((0.2*N(DR16)+0.4*N(DS16)+0.15*N(DT16))/0.75,"")</f>
        <v>0</v>
      </c>
    </row>
    <row r="17" spans="1:131" x14ac:dyDescent="0.25">
      <c r="A17">
        <v>14</v>
      </c>
      <c r="DR17" t="str">
        <f>IFERROR(AVERAGE(C17:AO17),"")</f>
        <v/>
      </c>
      <c r="DS17" t="str">
        <f>IFERROR(AVERAGE(AP17:CB17),"")</f>
        <v/>
      </c>
      <c r="DT17" t="str">
        <f>IFERROR(AVERAGE(CC17:DO17),"")</f>
        <v/>
      </c>
      <c r="DU17" t="str">
        <f>IFERROR(AVERAGE(DP17:DQ17),"")</f>
        <v/>
      </c>
      <c r="DV17">
        <f>0.2*N(DR17)+0.4*N(DS17)+0.15*N(DT17)+0.25*N(DU17)</f>
        <v>0</v>
      </c>
      <c r="DW17" t="str">
        <f>IFERROR(VLOOKUP(DV17,$EC$4:$EH$14,2,TRUE),"")</f>
        <v>F</v>
      </c>
      <c r="DX17">
        <f>IFERROR(VLOOKUP(DV17,$EC$4:$EH$14,3,TRUE),"")</f>
        <v>0</v>
      </c>
      <c r="DY17">
        <f>IFERROR(VLOOKUP(DV17,$EC$4:$EH$14,4,TRUE),"")</f>
        <v>2</v>
      </c>
      <c r="DZ17" t="str">
        <f>IF(DV17&gt;=50,"зачёт","незачёт")</f>
        <v>незачёт</v>
      </c>
      <c r="EA17">
        <f>IFERROR((0.2*N(DR17)+0.4*N(DS17)+0.15*N(DT17))/0.75,"")</f>
        <v>0</v>
      </c>
    </row>
    <row r="18" spans="1:131" x14ac:dyDescent="0.25">
      <c r="A18">
        <v>15</v>
      </c>
      <c r="DR18" t="str">
        <f>IFERROR(AVERAGE(C18:AO18),"")</f>
        <v/>
      </c>
      <c r="DS18" t="str">
        <f>IFERROR(AVERAGE(AP18:CB18),"")</f>
        <v/>
      </c>
      <c r="DT18" t="str">
        <f>IFERROR(AVERAGE(CC18:DO18),"")</f>
        <v/>
      </c>
      <c r="DU18" t="str">
        <f>IFERROR(AVERAGE(DP18:DQ18),"")</f>
        <v/>
      </c>
      <c r="DV18">
        <f>0.2*N(DR18)+0.4*N(DS18)+0.15*N(DT18)+0.25*N(DU18)</f>
        <v>0</v>
      </c>
      <c r="DW18" t="str">
        <f>IFERROR(VLOOKUP(DV18,$EC$4:$EH$14,2,TRUE),"")</f>
        <v>F</v>
      </c>
      <c r="DX18">
        <f>IFERROR(VLOOKUP(DV18,$EC$4:$EH$14,3,TRUE),"")</f>
        <v>0</v>
      </c>
      <c r="DY18">
        <f>IFERROR(VLOOKUP(DV18,$EC$4:$EH$14,4,TRUE),"")</f>
        <v>2</v>
      </c>
      <c r="DZ18" t="str">
        <f>IF(DV18&gt;=50,"зачёт","незачёт")</f>
        <v>незачёт</v>
      </c>
      <c r="EA18">
        <f>IFERROR((0.2*N(DR18)+0.4*N(DS18)+0.15*N(DT18))/0.75,"")</f>
        <v>0</v>
      </c>
    </row>
    <row r="19" spans="1:131" x14ac:dyDescent="0.25">
      <c r="A19">
        <v>16</v>
      </c>
      <c r="DR19" t="str">
        <f>IFERROR(AVERAGE(C19:AO19),"")</f>
        <v/>
      </c>
      <c r="DS19" t="str">
        <f>IFERROR(AVERAGE(AP19:CB19),"")</f>
        <v/>
      </c>
      <c r="DT19" t="str">
        <f>IFERROR(AVERAGE(CC19:DO19),"")</f>
        <v/>
      </c>
      <c r="DU19" t="str">
        <f>IFERROR(AVERAGE(DP19:DQ19),"")</f>
        <v/>
      </c>
      <c r="DV19">
        <f>0.2*N(DR19)+0.4*N(DS19)+0.15*N(DT19)+0.25*N(DU19)</f>
        <v>0</v>
      </c>
      <c r="DW19" t="str">
        <f>IFERROR(VLOOKUP(DV19,$EC$4:$EH$14,2,TRUE),"")</f>
        <v>F</v>
      </c>
      <c r="DX19">
        <f>IFERROR(VLOOKUP(DV19,$EC$4:$EH$14,3,TRUE),"")</f>
        <v>0</v>
      </c>
      <c r="DY19">
        <f>IFERROR(VLOOKUP(DV19,$EC$4:$EH$14,4,TRUE),"")</f>
        <v>2</v>
      </c>
      <c r="DZ19" t="str">
        <f>IF(DV19&gt;=50,"зачёт","незачёт")</f>
        <v>незачёт</v>
      </c>
      <c r="EA19">
        <f>IFERROR((0.2*N(DR19)+0.4*N(DS19)+0.15*N(DT19))/0.75,"")</f>
        <v>0</v>
      </c>
    </row>
    <row r="20" spans="1:131" x14ac:dyDescent="0.25">
      <c r="A20">
        <v>17</v>
      </c>
      <c r="DR20" t="str">
        <f>IFERROR(AVERAGE(C20:AO20),"")</f>
        <v/>
      </c>
      <c r="DS20" t="str">
        <f>IFERROR(AVERAGE(AP20:CB20),"")</f>
        <v/>
      </c>
      <c r="DT20" t="str">
        <f>IFERROR(AVERAGE(CC20:DO20),"")</f>
        <v/>
      </c>
      <c r="DU20" t="str">
        <f>IFERROR(AVERAGE(DP20:DQ20),"")</f>
        <v/>
      </c>
      <c r="DV20">
        <f>0.2*N(DR20)+0.4*N(DS20)+0.15*N(DT20)+0.25*N(DU20)</f>
        <v>0</v>
      </c>
      <c r="DW20" t="str">
        <f>IFERROR(VLOOKUP(DV20,$EC$4:$EH$14,2,TRUE),"")</f>
        <v>F</v>
      </c>
      <c r="DX20">
        <f>IFERROR(VLOOKUP(DV20,$EC$4:$EH$14,3,TRUE),"")</f>
        <v>0</v>
      </c>
      <c r="DY20">
        <f>IFERROR(VLOOKUP(DV20,$EC$4:$EH$14,4,TRUE),"")</f>
        <v>2</v>
      </c>
      <c r="DZ20" t="str">
        <f>IF(DV20&gt;=50,"зачёт","незачёт")</f>
        <v>незачёт</v>
      </c>
      <c r="EA20">
        <f>IFERROR((0.2*N(DR20)+0.4*N(DS20)+0.15*N(DT20))/0.75,"")</f>
        <v>0</v>
      </c>
    </row>
    <row r="21" spans="1:131" x14ac:dyDescent="0.25">
      <c r="A21">
        <v>18</v>
      </c>
      <c r="DR21" t="str">
        <f>IFERROR(AVERAGE(C21:AO21),"")</f>
        <v/>
      </c>
      <c r="DS21" t="str">
        <f>IFERROR(AVERAGE(AP21:CB21),"")</f>
        <v/>
      </c>
      <c r="DT21" t="str">
        <f>IFERROR(AVERAGE(CC21:DO21),"")</f>
        <v/>
      </c>
      <c r="DU21" t="str">
        <f>IFERROR(AVERAGE(DP21:DQ21),"")</f>
        <v/>
      </c>
      <c r="DV21">
        <f>0.2*N(DR21)+0.4*N(DS21)+0.15*N(DT21)+0.25*N(DU21)</f>
        <v>0</v>
      </c>
      <c r="DW21" t="str">
        <f>IFERROR(VLOOKUP(DV21,$EC$4:$EH$14,2,TRUE),"")</f>
        <v>F</v>
      </c>
      <c r="DX21">
        <f>IFERROR(VLOOKUP(DV21,$EC$4:$EH$14,3,TRUE),"")</f>
        <v>0</v>
      </c>
      <c r="DY21">
        <f>IFERROR(VLOOKUP(DV21,$EC$4:$EH$14,4,TRUE),"")</f>
        <v>2</v>
      </c>
      <c r="DZ21" t="str">
        <f>IF(DV21&gt;=50,"зачёт","незачёт")</f>
        <v>незачёт</v>
      </c>
      <c r="EA21">
        <f>IFERROR((0.2*N(DR21)+0.4*N(DS21)+0.15*N(DT21))/0.75,"")</f>
        <v>0</v>
      </c>
    </row>
    <row r="22" spans="1:131" x14ac:dyDescent="0.25">
      <c r="A22">
        <v>19</v>
      </c>
      <c r="DR22" t="str">
        <f>IFERROR(AVERAGE(C22:AO22),"")</f>
        <v/>
      </c>
      <c r="DS22" t="str">
        <f>IFERROR(AVERAGE(AP22:CB22),"")</f>
        <v/>
      </c>
      <c r="DT22" t="str">
        <f>IFERROR(AVERAGE(CC22:DO22),"")</f>
        <v/>
      </c>
      <c r="DU22" t="str">
        <f>IFERROR(AVERAGE(DP22:DQ22),"")</f>
        <v/>
      </c>
      <c r="DV22">
        <f>0.2*N(DR22)+0.4*N(DS22)+0.15*N(DT22)+0.25*N(DU22)</f>
        <v>0</v>
      </c>
      <c r="DW22" t="str">
        <f>IFERROR(VLOOKUP(DV22,$EC$4:$EH$14,2,TRUE),"")</f>
        <v>F</v>
      </c>
      <c r="DX22">
        <f>IFERROR(VLOOKUP(DV22,$EC$4:$EH$14,3,TRUE),"")</f>
        <v>0</v>
      </c>
      <c r="DY22">
        <f>IFERROR(VLOOKUP(DV22,$EC$4:$EH$14,4,TRUE),"")</f>
        <v>2</v>
      </c>
      <c r="DZ22" t="str">
        <f>IF(DV22&gt;=50,"зачёт","незачёт")</f>
        <v>незачёт</v>
      </c>
      <c r="EA22">
        <f>IFERROR((0.2*N(DR22)+0.4*N(DS22)+0.15*N(DT22))/0.75,"")</f>
        <v>0</v>
      </c>
    </row>
    <row r="23" spans="1:131" x14ac:dyDescent="0.25">
      <c r="A23">
        <v>20</v>
      </c>
      <c r="DR23" t="str">
        <f>IFERROR(AVERAGE(C23:AO23),"")</f>
        <v/>
      </c>
      <c r="DS23" t="str">
        <f>IFERROR(AVERAGE(AP23:CB23),"")</f>
        <v/>
      </c>
      <c r="DT23" t="str">
        <f>IFERROR(AVERAGE(CC23:DO23),"")</f>
        <v/>
      </c>
      <c r="DU23" t="str">
        <f>IFERROR(AVERAGE(DP23:DQ23),"")</f>
        <v/>
      </c>
      <c r="DV23">
        <f>0.2*N(DR23)+0.4*N(DS23)+0.15*N(DT23)+0.25*N(DU23)</f>
        <v>0</v>
      </c>
      <c r="DW23" t="str">
        <f>IFERROR(VLOOKUP(DV23,$EC$4:$EH$14,2,TRUE),"")</f>
        <v>F</v>
      </c>
      <c r="DX23">
        <f>IFERROR(VLOOKUP(DV23,$EC$4:$EH$14,3,TRUE),"")</f>
        <v>0</v>
      </c>
      <c r="DY23">
        <f>IFERROR(VLOOKUP(DV23,$EC$4:$EH$14,4,TRUE),"")</f>
        <v>2</v>
      </c>
      <c r="DZ23" t="str">
        <f>IF(DV23&gt;=50,"зачёт","незачёт")</f>
        <v>незачёт</v>
      </c>
      <c r="EA23">
        <f>IFERROR((0.2*N(DR23)+0.4*N(DS23)+0.15*N(DT23))/0.75,"")</f>
        <v>0</v>
      </c>
    </row>
    <row r="24" spans="1:131" x14ac:dyDescent="0.25">
      <c r="A24">
        <v>21</v>
      </c>
      <c r="DR24" t="str">
        <f>IFERROR(AVERAGE(C24:AO24),"")</f>
        <v/>
      </c>
      <c r="DS24" t="str">
        <f>IFERROR(AVERAGE(AP24:CB24),"")</f>
        <v/>
      </c>
      <c r="DT24" t="str">
        <f>IFERROR(AVERAGE(CC24:DO24),"")</f>
        <v/>
      </c>
      <c r="DU24" t="str">
        <f>IFERROR(AVERAGE(DP24:DQ24),"")</f>
        <v/>
      </c>
      <c r="DV24">
        <f>0.2*N(DR24)+0.4*N(DS24)+0.15*N(DT24)+0.25*N(DU24)</f>
        <v>0</v>
      </c>
      <c r="DW24" t="str">
        <f>IFERROR(VLOOKUP(DV24,$EC$4:$EH$14,2,TRUE),"")</f>
        <v>F</v>
      </c>
      <c r="DX24">
        <f>IFERROR(VLOOKUP(DV24,$EC$4:$EH$14,3,TRUE),"")</f>
        <v>0</v>
      </c>
      <c r="DY24">
        <f>IFERROR(VLOOKUP(DV24,$EC$4:$EH$14,4,TRUE),"")</f>
        <v>2</v>
      </c>
      <c r="DZ24" t="str">
        <f>IF(DV24&gt;=50,"зачёт","незачёт")</f>
        <v>незачёт</v>
      </c>
      <c r="EA24">
        <f>IFERROR((0.2*N(DR24)+0.4*N(DS24)+0.15*N(DT24))/0.75,"")</f>
        <v>0</v>
      </c>
    </row>
    <row r="25" spans="1:131" x14ac:dyDescent="0.25">
      <c r="A25">
        <v>22</v>
      </c>
      <c r="DR25" t="str">
        <f>IFERROR(AVERAGE(C25:AO25),"")</f>
        <v/>
      </c>
      <c r="DS25" t="str">
        <f>IFERROR(AVERAGE(AP25:CB25),"")</f>
        <v/>
      </c>
      <c r="DT25" t="str">
        <f>IFERROR(AVERAGE(CC25:DO25),"")</f>
        <v/>
      </c>
      <c r="DU25" t="str">
        <f>IFERROR(AVERAGE(DP25:DQ25),"")</f>
        <v/>
      </c>
      <c r="DV25">
        <f>0.2*N(DR25)+0.4*N(DS25)+0.15*N(DT25)+0.25*N(DU25)</f>
        <v>0</v>
      </c>
      <c r="DW25" t="str">
        <f>IFERROR(VLOOKUP(DV25,$EC$4:$EH$14,2,TRUE),"")</f>
        <v>F</v>
      </c>
      <c r="DX25">
        <f>IFERROR(VLOOKUP(DV25,$EC$4:$EH$14,3,TRUE),"")</f>
        <v>0</v>
      </c>
      <c r="DY25">
        <f>IFERROR(VLOOKUP(DV25,$EC$4:$EH$14,4,TRUE),"")</f>
        <v>2</v>
      </c>
      <c r="DZ25" t="str">
        <f>IF(DV25&gt;=50,"зачёт","незачёт")</f>
        <v>незачёт</v>
      </c>
      <c r="EA25">
        <f>IFERROR((0.2*N(DR25)+0.4*N(DS25)+0.15*N(DT25))/0.75,"")</f>
        <v>0</v>
      </c>
    </row>
    <row r="26" spans="1:131" x14ac:dyDescent="0.25">
      <c r="A26">
        <v>23</v>
      </c>
      <c r="DR26" t="str">
        <f>IFERROR(AVERAGE(C26:AO26),"")</f>
        <v/>
      </c>
      <c r="DS26" t="str">
        <f>IFERROR(AVERAGE(AP26:CB26),"")</f>
        <v/>
      </c>
      <c r="DT26" t="str">
        <f>IFERROR(AVERAGE(CC26:DO26),"")</f>
        <v/>
      </c>
      <c r="DU26" t="str">
        <f>IFERROR(AVERAGE(DP26:DQ26),"")</f>
        <v/>
      </c>
      <c r="DV26">
        <f>0.2*N(DR26)+0.4*N(DS26)+0.15*N(DT26)+0.25*N(DU26)</f>
        <v>0</v>
      </c>
      <c r="DW26" t="str">
        <f>IFERROR(VLOOKUP(DV26,$EC$4:$EH$14,2,TRUE),"")</f>
        <v>F</v>
      </c>
      <c r="DX26">
        <f>IFERROR(VLOOKUP(DV26,$EC$4:$EH$14,3,TRUE),"")</f>
        <v>0</v>
      </c>
      <c r="DY26">
        <f>IFERROR(VLOOKUP(DV26,$EC$4:$EH$14,4,TRUE),"")</f>
        <v>2</v>
      </c>
      <c r="DZ26" t="str">
        <f>IF(DV26&gt;=50,"зачёт","незачёт")</f>
        <v>незачёт</v>
      </c>
      <c r="EA26">
        <f>IFERROR((0.2*N(DR26)+0.4*N(DS26)+0.15*N(DT26))/0.75,"")</f>
        <v>0</v>
      </c>
    </row>
    <row r="27" spans="1:131" x14ac:dyDescent="0.25">
      <c r="A27">
        <v>24</v>
      </c>
      <c r="DR27" t="str">
        <f>IFERROR(AVERAGE(C27:AO27),"")</f>
        <v/>
      </c>
      <c r="DS27" t="str">
        <f>IFERROR(AVERAGE(AP27:CB27),"")</f>
        <v/>
      </c>
      <c r="DT27" t="str">
        <f>IFERROR(AVERAGE(CC27:DO27),"")</f>
        <v/>
      </c>
      <c r="DU27" t="str">
        <f>IFERROR(AVERAGE(DP27:DQ27),"")</f>
        <v/>
      </c>
      <c r="DV27">
        <f>0.2*N(DR27)+0.4*N(DS27)+0.15*N(DT27)+0.25*N(DU27)</f>
        <v>0</v>
      </c>
      <c r="DW27" t="str">
        <f>IFERROR(VLOOKUP(DV27,$EC$4:$EH$14,2,TRUE),"")</f>
        <v>F</v>
      </c>
      <c r="DX27">
        <f>IFERROR(VLOOKUP(DV27,$EC$4:$EH$14,3,TRUE),"")</f>
        <v>0</v>
      </c>
      <c r="DY27">
        <f>IFERROR(VLOOKUP(DV27,$EC$4:$EH$14,4,TRUE),"")</f>
        <v>2</v>
      </c>
      <c r="DZ27" t="str">
        <f>IF(DV27&gt;=50,"зачёт","незачёт")</f>
        <v>незачёт</v>
      </c>
      <c r="EA27">
        <f>IFERROR((0.2*N(DR27)+0.4*N(DS27)+0.15*N(DT27))/0.75,"")</f>
        <v>0</v>
      </c>
    </row>
    <row r="28" spans="1:131" x14ac:dyDescent="0.25">
      <c r="A28">
        <v>25</v>
      </c>
      <c r="DR28" t="str">
        <f>IFERROR(AVERAGE(C28:AO28),"")</f>
        <v/>
      </c>
      <c r="DS28" t="str">
        <f>IFERROR(AVERAGE(AP28:CB28),"")</f>
        <v/>
      </c>
      <c r="DT28" t="str">
        <f>IFERROR(AVERAGE(CC28:DO28),"")</f>
        <v/>
      </c>
      <c r="DU28" t="str">
        <f>IFERROR(AVERAGE(DP28:DQ28),"")</f>
        <v/>
      </c>
      <c r="DV28">
        <f>0.2*N(DR28)+0.4*N(DS28)+0.15*N(DT28)+0.25*N(DU28)</f>
        <v>0</v>
      </c>
      <c r="DW28" t="str">
        <f>IFERROR(VLOOKUP(DV28,$EC$4:$EH$14,2,TRUE),"")</f>
        <v>F</v>
      </c>
      <c r="DX28">
        <f>IFERROR(VLOOKUP(DV28,$EC$4:$EH$14,3,TRUE),"")</f>
        <v>0</v>
      </c>
      <c r="DY28">
        <f>IFERROR(VLOOKUP(DV28,$EC$4:$EH$14,4,TRUE),"")</f>
        <v>2</v>
      </c>
      <c r="DZ28" t="str">
        <f>IF(DV28&gt;=50,"зачёт","незачёт")</f>
        <v>незачёт</v>
      </c>
      <c r="EA28">
        <f>IFERROR((0.2*N(DR28)+0.4*N(DS28)+0.15*N(DT28))/0.75,"")</f>
        <v>0</v>
      </c>
    </row>
    <row r="31" spans="1:131" x14ac:dyDescent="0.25">
      <c r="A31" t="s">
        <v>80</v>
      </c>
    </row>
    <row r="32" spans="1:131" x14ac:dyDescent="0.25">
      <c r="A32" t="s">
        <v>81</v>
      </c>
    </row>
    <row r="33" spans="1:1" x14ac:dyDescent="0.25">
      <c r="A33" t="s">
        <v>82</v>
      </c>
    </row>
    <row r="34" spans="1:1" x14ac:dyDescent="0.25">
      <c r="A34" t="s">
        <v>83</v>
      </c>
    </row>
  </sheetData>
  <mergeCells count="5">
    <mergeCell ref="C2:AO2"/>
    <mergeCell ref="AP2:CB2"/>
    <mergeCell ref="CC2:DO2"/>
    <mergeCell ref="DP2:DQ2"/>
    <mergeCell ref="DR2:E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Ведомость оценок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2026-07-28T06:38:22Z</dcterms:created>
  <dcterms:modified xsi:type="dcterms:W3CDTF">2026-07-28T06:38:25Z</dcterms:modified>
</cp:coreProperties>
</file>