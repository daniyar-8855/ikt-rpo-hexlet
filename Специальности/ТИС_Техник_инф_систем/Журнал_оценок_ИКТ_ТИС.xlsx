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ТИС_Техник_инф_систем\"/>
    </mc:Choice>
  </mc:AlternateContent>
  <xr:revisionPtr revIDLastSave="0" documentId="8_{32EA6131-5939-4B5A-97CA-B0AAC602AE7E}" xr6:coauthVersionLast="36" xr6:coauthVersionMax="36" xr10:uidLastSave="{00000000-0000-0000-0000-000000000000}"/>
  <bookViews>
    <workbookView xWindow="0" yWindow="0" windowWidth="28800" windowHeight="14145" xr2:uid="{88E680A0-CBB5-49CA-8D72-5321DCDCE83A}"/>
  </bookViews>
  <sheets>
    <sheet name="Инструкция" sheetId="1" r:id="rId1"/>
    <sheet name="Занятия" sheetId="2" r:id="rId2"/>
    <sheet name="Шкала" sheetId="3" r:id="rId3"/>
    <sheet name="Список" sheetId="4" r:id="rId4"/>
    <sheet name="Тесты" sheetId="5" r:id="rId5"/>
    <sheet name="Практика" sheetId="6" r:id="rId6"/>
    <sheet name="СРС" sheetId="7" r:id="rId7"/>
    <sheet name="Итоги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8" l="1"/>
  <c r="M26" i="8"/>
  <c r="L26" i="8"/>
  <c r="K26" i="8"/>
  <c r="J26" i="8"/>
  <c r="I26" i="8"/>
  <c r="H26" i="8"/>
  <c r="E26" i="8"/>
  <c r="D26" i="8"/>
  <c r="C26" i="8"/>
  <c r="B26" i="8"/>
  <c r="A26" i="8"/>
  <c r="N25" i="8"/>
  <c r="M25" i="8"/>
  <c r="L25" i="8"/>
  <c r="K25" i="8"/>
  <c r="J25" i="8"/>
  <c r="I25" i="8"/>
  <c r="H25" i="8"/>
  <c r="E25" i="8"/>
  <c r="D25" i="8"/>
  <c r="C25" i="8"/>
  <c r="B25" i="8"/>
  <c r="A25" i="8"/>
  <c r="N24" i="8"/>
  <c r="M24" i="8"/>
  <c r="L24" i="8"/>
  <c r="K24" i="8"/>
  <c r="J24" i="8"/>
  <c r="I24" i="8"/>
  <c r="H24" i="8"/>
  <c r="E24" i="8"/>
  <c r="D24" i="8"/>
  <c r="C24" i="8"/>
  <c r="B24" i="8"/>
  <c r="A24" i="8"/>
  <c r="N23" i="8"/>
  <c r="M23" i="8"/>
  <c r="L23" i="8"/>
  <c r="K23" i="8"/>
  <c r="J23" i="8"/>
  <c r="I23" i="8"/>
  <c r="H23" i="8"/>
  <c r="E23" i="8"/>
  <c r="D23" i="8"/>
  <c r="C23" i="8"/>
  <c r="B23" i="8"/>
  <c r="A23" i="8"/>
  <c r="N22" i="8"/>
  <c r="M22" i="8"/>
  <c r="L22" i="8"/>
  <c r="K22" i="8"/>
  <c r="J22" i="8"/>
  <c r="I22" i="8"/>
  <c r="H22" i="8"/>
  <c r="E22" i="8"/>
  <c r="D22" i="8"/>
  <c r="C22" i="8"/>
  <c r="B22" i="8"/>
  <c r="A22" i="8"/>
  <c r="N21" i="8"/>
  <c r="M21" i="8"/>
  <c r="L21" i="8"/>
  <c r="K21" i="8"/>
  <c r="J21" i="8"/>
  <c r="I21" i="8"/>
  <c r="H21" i="8"/>
  <c r="E21" i="8"/>
  <c r="D21" i="8"/>
  <c r="C21" i="8"/>
  <c r="B21" i="8"/>
  <c r="A21" i="8"/>
  <c r="N20" i="8"/>
  <c r="M20" i="8"/>
  <c r="L20" i="8"/>
  <c r="K20" i="8"/>
  <c r="J20" i="8"/>
  <c r="I20" i="8"/>
  <c r="H20" i="8"/>
  <c r="E20" i="8"/>
  <c r="D20" i="8"/>
  <c r="C20" i="8"/>
  <c r="B20" i="8"/>
  <c r="A20" i="8"/>
  <c r="N19" i="8"/>
  <c r="M19" i="8"/>
  <c r="L19" i="8"/>
  <c r="K19" i="8"/>
  <c r="J19" i="8"/>
  <c r="I19" i="8"/>
  <c r="H19" i="8"/>
  <c r="E19" i="8"/>
  <c r="D19" i="8"/>
  <c r="C19" i="8"/>
  <c r="B19" i="8"/>
  <c r="A19" i="8"/>
  <c r="N18" i="8"/>
  <c r="M18" i="8"/>
  <c r="L18" i="8"/>
  <c r="K18" i="8"/>
  <c r="J18" i="8"/>
  <c r="I18" i="8"/>
  <c r="H18" i="8"/>
  <c r="E18" i="8"/>
  <c r="D18" i="8"/>
  <c r="C18" i="8"/>
  <c r="B18" i="8"/>
  <c r="A18" i="8"/>
  <c r="N17" i="8"/>
  <c r="M17" i="8"/>
  <c r="L17" i="8"/>
  <c r="K17" i="8"/>
  <c r="J17" i="8"/>
  <c r="I17" i="8"/>
  <c r="H17" i="8"/>
  <c r="E17" i="8"/>
  <c r="D17" i="8"/>
  <c r="C17" i="8"/>
  <c r="B17" i="8"/>
  <c r="A17" i="8"/>
  <c r="N16" i="8"/>
  <c r="M16" i="8"/>
  <c r="L16" i="8"/>
  <c r="K16" i="8"/>
  <c r="J16" i="8"/>
  <c r="I16" i="8"/>
  <c r="H16" i="8"/>
  <c r="E16" i="8"/>
  <c r="D16" i="8"/>
  <c r="C16" i="8"/>
  <c r="B16" i="8"/>
  <c r="A16" i="8"/>
  <c r="N15" i="8"/>
  <c r="M15" i="8"/>
  <c r="L15" i="8"/>
  <c r="K15" i="8"/>
  <c r="J15" i="8"/>
  <c r="I15" i="8"/>
  <c r="H15" i="8"/>
  <c r="E15" i="8"/>
  <c r="D15" i="8"/>
  <c r="C15" i="8"/>
  <c r="B15" i="8"/>
  <c r="A15" i="8"/>
  <c r="N14" i="8"/>
  <c r="M14" i="8"/>
  <c r="L14" i="8"/>
  <c r="K14" i="8"/>
  <c r="J14" i="8"/>
  <c r="I14" i="8"/>
  <c r="H14" i="8"/>
  <c r="E14" i="8"/>
  <c r="D14" i="8"/>
  <c r="C14" i="8"/>
  <c r="B14" i="8"/>
  <c r="A14" i="8"/>
  <c r="N13" i="8"/>
  <c r="M13" i="8"/>
  <c r="L13" i="8"/>
  <c r="K13" i="8"/>
  <c r="J13" i="8"/>
  <c r="I13" i="8"/>
  <c r="H13" i="8"/>
  <c r="E13" i="8"/>
  <c r="D13" i="8"/>
  <c r="C13" i="8"/>
  <c r="B13" i="8"/>
  <c r="A13" i="8"/>
  <c r="N12" i="8"/>
  <c r="M12" i="8"/>
  <c r="L12" i="8"/>
  <c r="K12" i="8"/>
  <c r="J12" i="8"/>
  <c r="I12" i="8"/>
  <c r="H12" i="8"/>
  <c r="E12" i="8"/>
  <c r="D12" i="8"/>
  <c r="C12" i="8"/>
  <c r="B12" i="8"/>
  <c r="A12" i="8"/>
  <c r="N11" i="8"/>
  <c r="M11" i="8"/>
  <c r="L11" i="8"/>
  <c r="K11" i="8"/>
  <c r="J11" i="8"/>
  <c r="I11" i="8"/>
  <c r="H11" i="8"/>
  <c r="E11" i="8"/>
  <c r="D11" i="8"/>
  <c r="C11" i="8"/>
  <c r="B11" i="8"/>
  <c r="A11" i="8"/>
  <c r="N10" i="8"/>
  <c r="M10" i="8"/>
  <c r="L10" i="8"/>
  <c r="K10" i="8"/>
  <c r="J10" i="8"/>
  <c r="I10" i="8"/>
  <c r="H10" i="8"/>
  <c r="E10" i="8"/>
  <c r="D10" i="8"/>
  <c r="C10" i="8"/>
  <c r="B10" i="8"/>
  <c r="A10" i="8"/>
  <c r="N9" i="8"/>
  <c r="M9" i="8"/>
  <c r="L9" i="8"/>
  <c r="K9" i="8"/>
  <c r="J9" i="8"/>
  <c r="I9" i="8"/>
  <c r="H9" i="8"/>
  <c r="E9" i="8"/>
  <c r="D9" i="8"/>
  <c r="C9" i="8"/>
  <c r="B9" i="8"/>
  <c r="A9" i="8"/>
  <c r="N8" i="8"/>
  <c r="M8" i="8"/>
  <c r="L8" i="8"/>
  <c r="K8" i="8"/>
  <c r="J8" i="8"/>
  <c r="I8" i="8"/>
  <c r="H8" i="8"/>
  <c r="E8" i="8"/>
  <c r="D8" i="8"/>
  <c r="C8" i="8"/>
  <c r="B8" i="8"/>
  <c r="A8" i="8"/>
  <c r="N7" i="8"/>
  <c r="M7" i="8"/>
  <c r="L7" i="8"/>
  <c r="K7" i="8"/>
  <c r="J7" i="8"/>
  <c r="I7" i="8"/>
  <c r="H7" i="8"/>
  <c r="E7" i="8"/>
  <c r="D7" i="8"/>
  <c r="C7" i="8"/>
  <c r="B7" i="8"/>
  <c r="A7" i="8"/>
  <c r="N6" i="8"/>
  <c r="M6" i="8"/>
  <c r="L6" i="8"/>
  <c r="K6" i="8"/>
  <c r="J6" i="8"/>
  <c r="I6" i="8"/>
  <c r="H6" i="8"/>
  <c r="E6" i="8"/>
  <c r="D6" i="8"/>
  <c r="C6" i="8"/>
  <c r="B6" i="8"/>
  <c r="A6" i="8"/>
  <c r="N5" i="8"/>
  <c r="M5" i="8"/>
  <c r="L5" i="8"/>
  <c r="K5" i="8"/>
  <c r="J5" i="8"/>
  <c r="I5" i="8"/>
  <c r="H5" i="8"/>
  <c r="E5" i="8"/>
  <c r="D5" i="8"/>
  <c r="C5" i="8"/>
  <c r="B5" i="8"/>
  <c r="A5" i="8"/>
  <c r="N4" i="8"/>
  <c r="M4" i="8"/>
  <c r="L4" i="8"/>
  <c r="K4" i="8"/>
  <c r="J4" i="8"/>
  <c r="I4" i="8"/>
  <c r="H4" i="8"/>
  <c r="E4" i="8"/>
  <c r="D4" i="8"/>
  <c r="C4" i="8"/>
  <c r="B4" i="8"/>
  <c r="A4" i="8"/>
  <c r="N3" i="8"/>
  <c r="M3" i="8"/>
  <c r="L3" i="8"/>
  <c r="K3" i="8"/>
  <c r="J3" i="8"/>
  <c r="I3" i="8"/>
  <c r="H3" i="8"/>
  <c r="E3" i="8"/>
  <c r="D3" i="8"/>
  <c r="C3" i="8"/>
  <c r="B3" i="8"/>
  <c r="A3" i="8"/>
  <c r="N2" i="8"/>
  <c r="M2" i="8"/>
  <c r="L2" i="8"/>
  <c r="K2" i="8"/>
  <c r="J2" i="8"/>
  <c r="I2" i="8"/>
  <c r="H2" i="8"/>
  <c r="E2" i="8"/>
  <c r="D2" i="8"/>
  <c r="C2" i="8"/>
  <c r="B2" i="8"/>
  <c r="A2" i="8"/>
  <c r="AP26" i="7"/>
  <c r="B26" i="7"/>
  <c r="A26" i="7"/>
  <c r="AP25" i="7"/>
  <c r="B25" i="7"/>
  <c r="A25" i="7"/>
  <c r="AP24" i="7"/>
  <c r="B24" i="7"/>
  <c r="A24" i="7"/>
  <c r="AP23" i="7"/>
  <c r="B23" i="7"/>
  <c r="A23" i="7"/>
  <c r="AP22" i="7"/>
  <c r="B22" i="7"/>
  <c r="A22" i="7"/>
  <c r="AP21" i="7"/>
  <c r="B21" i="7"/>
  <c r="A21" i="7"/>
  <c r="AP20" i="7"/>
  <c r="B20" i="7"/>
  <c r="A20" i="7"/>
  <c r="AP19" i="7"/>
  <c r="B19" i="7"/>
  <c r="A19" i="7"/>
  <c r="AP18" i="7"/>
  <c r="B18" i="7"/>
  <c r="A18" i="7"/>
  <c r="AP17" i="7"/>
  <c r="B17" i="7"/>
  <c r="A17" i="7"/>
  <c r="AP16" i="7"/>
  <c r="B16" i="7"/>
  <c r="A16" i="7"/>
  <c r="AP15" i="7"/>
  <c r="B15" i="7"/>
  <c r="A15" i="7"/>
  <c r="AP14" i="7"/>
  <c r="B14" i="7"/>
  <c r="A14" i="7"/>
  <c r="AP13" i="7"/>
  <c r="B13" i="7"/>
  <c r="A13" i="7"/>
  <c r="AP12" i="7"/>
  <c r="B12" i="7"/>
  <c r="A12" i="7"/>
  <c r="AP11" i="7"/>
  <c r="B11" i="7"/>
  <c r="A11" i="7"/>
  <c r="AP10" i="7"/>
  <c r="B10" i="7"/>
  <c r="A10" i="7"/>
  <c r="AP9" i="7"/>
  <c r="B9" i="7"/>
  <c r="A9" i="7"/>
  <c r="AP8" i="7"/>
  <c r="B8" i="7"/>
  <c r="A8" i="7"/>
  <c r="AP7" i="7"/>
  <c r="B7" i="7"/>
  <c r="A7" i="7"/>
  <c r="AP6" i="7"/>
  <c r="B6" i="7"/>
  <c r="A6" i="7"/>
  <c r="AP5" i="7"/>
  <c r="B5" i="7"/>
  <c r="A5" i="7"/>
  <c r="AP4" i="7"/>
  <c r="B4" i="7"/>
  <c r="A4" i="7"/>
  <c r="AP3" i="7"/>
  <c r="B3" i="7"/>
  <c r="A3" i="7"/>
  <c r="AP2" i="7"/>
  <c r="B2" i="7"/>
  <c r="A2" i="7"/>
  <c r="AP26" i="6"/>
  <c r="B26" i="6"/>
  <c r="A26" i="6"/>
  <c r="AP25" i="6"/>
  <c r="B25" i="6"/>
  <c r="A25" i="6"/>
  <c r="AP24" i="6"/>
  <c r="B24" i="6"/>
  <c r="A24" i="6"/>
  <c r="AP23" i="6"/>
  <c r="B23" i="6"/>
  <c r="A23" i="6"/>
  <c r="AP22" i="6"/>
  <c r="B22" i="6"/>
  <c r="A22" i="6"/>
  <c r="AP21" i="6"/>
  <c r="B21" i="6"/>
  <c r="A21" i="6"/>
  <c r="AP20" i="6"/>
  <c r="B20" i="6"/>
  <c r="A20" i="6"/>
  <c r="AP19" i="6"/>
  <c r="B19" i="6"/>
  <c r="A19" i="6"/>
  <c r="AP18" i="6"/>
  <c r="B18" i="6"/>
  <c r="A18" i="6"/>
  <c r="AP17" i="6"/>
  <c r="B17" i="6"/>
  <c r="A17" i="6"/>
  <c r="AP16" i="6"/>
  <c r="B16" i="6"/>
  <c r="A16" i="6"/>
  <c r="AP15" i="6"/>
  <c r="B15" i="6"/>
  <c r="A15" i="6"/>
  <c r="AP14" i="6"/>
  <c r="B14" i="6"/>
  <c r="A14" i="6"/>
  <c r="AP13" i="6"/>
  <c r="B13" i="6"/>
  <c r="A13" i="6"/>
  <c r="AP12" i="6"/>
  <c r="B12" i="6"/>
  <c r="A12" i="6"/>
  <c r="AP11" i="6"/>
  <c r="B11" i="6"/>
  <c r="A11" i="6"/>
  <c r="AP10" i="6"/>
  <c r="B10" i="6"/>
  <c r="A10" i="6"/>
  <c r="AP9" i="6"/>
  <c r="B9" i="6"/>
  <c r="A9" i="6"/>
  <c r="AP8" i="6"/>
  <c r="B8" i="6"/>
  <c r="A8" i="6"/>
  <c r="AP7" i="6"/>
  <c r="B7" i="6"/>
  <c r="A7" i="6"/>
  <c r="AP6" i="6"/>
  <c r="B6" i="6"/>
  <c r="A6" i="6"/>
  <c r="AP5" i="6"/>
  <c r="B5" i="6"/>
  <c r="A5" i="6"/>
  <c r="AP4" i="6"/>
  <c r="B4" i="6"/>
  <c r="A4" i="6"/>
  <c r="AP3" i="6"/>
  <c r="B3" i="6"/>
  <c r="A3" i="6"/>
  <c r="AP2" i="6"/>
  <c r="B2" i="6"/>
  <c r="A2" i="6"/>
  <c r="AP26" i="5"/>
  <c r="B26" i="5"/>
  <c r="A26" i="5"/>
  <c r="AP25" i="5"/>
  <c r="B25" i="5"/>
  <c r="A25" i="5"/>
  <c r="AP24" i="5"/>
  <c r="B24" i="5"/>
  <c r="A24" i="5"/>
  <c r="AP23" i="5"/>
  <c r="B23" i="5"/>
  <c r="A23" i="5"/>
  <c r="AP22" i="5"/>
  <c r="B22" i="5"/>
  <c r="A22" i="5"/>
  <c r="AP21" i="5"/>
  <c r="B21" i="5"/>
  <c r="A21" i="5"/>
  <c r="AP20" i="5"/>
  <c r="B20" i="5"/>
  <c r="A20" i="5"/>
  <c r="AP19" i="5"/>
  <c r="B19" i="5"/>
  <c r="A19" i="5"/>
  <c r="AP18" i="5"/>
  <c r="B18" i="5"/>
  <c r="A18" i="5"/>
  <c r="AP17" i="5"/>
  <c r="B17" i="5"/>
  <c r="A17" i="5"/>
  <c r="AP16" i="5"/>
  <c r="B16" i="5"/>
  <c r="A16" i="5"/>
  <c r="AP15" i="5"/>
  <c r="B15" i="5"/>
  <c r="A15" i="5"/>
  <c r="AP14" i="5"/>
  <c r="B14" i="5"/>
  <c r="A14" i="5"/>
  <c r="AP13" i="5"/>
  <c r="B13" i="5"/>
  <c r="A13" i="5"/>
  <c r="AP12" i="5"/>
  <c r="B12" i="5"/>
  <c r="A12" i="5"/>
  <c r="AP11" i="5"/>
  <c r="B11" i="5"/>
  <c r="A11" i="5"/>
  <c r="AP10" i="5"/>
  <c r="B10" i="5"/>
  <c r="A10" i="5"/>
  <c r="AP9" i="5"/>
  <c r="B9" i="5"/>
  <c r="A9" i="5"/>
  <c r="AP8" i="5"/>
  <c r="B8" i="5"/>
  <c r="A8" i="5"/>
  <c r="AP7" i="5"/>
  <c r="B7" i="5"/>
  <c r="A7" i="5"/>
  <c r="AP6" i="5"/>
  <c r="B6" i="5"/>
  <c r="A6" i="5"/>
  <c r="AP5" i="5"/>
  <c r="B5" i="5"/>
  <c r="A5" i="5"/>
  <c r="AP4" i="5"/>
  <c r="B4" i="5"/>
  <c r="A4" i="5"/>
  <c r="AP3" i="5"/>
  <c r="B3" i="5"/>
  <c r="A3" i="5"/>
  <c r="AP2" i="5"/>
  <c r="B2" i="5"/>
  <c r="A2" i="5"/>
</calcChain>
</file>

<file path=xl/sharedStrings.xml><?xml version="1.0" encoding="utf-8"?>
<sst xmlns="http://schemas.openxmlformats.org/spreadsheetml/2006/main" count="242" uniqueCount="134">
  <si>
    <t>ЖУРНАЛ УЧЁТА ОЦЕНОК — модуль «Применение ИКТ и цифровых технологий»</t>
  </si>
  <si>
    <t>Специальность: Техник информационных систем (4S06130105). 96 ч, 39 занятий, форма контроля — дифференцированный зачёт.</t>
  </si>
  <si>
    <t>НОРМАТИВНАЯ ОСНОВА:</t>
  </si>
  <si>
    <t xml:space="preserve">  • Приказ МОН РК № 125 (рег. 5191, ред. № 98 от 30.04.2025) — Типовые правила текущего контроля/аттестации ТиПО.</t>
  </si>
  <si>
    <t xml:space="preserve">  • Приказ МП РК № 263 (рег. 33330) — формы строгой отчётности, Приложение 14 «Журнал учёта теоретического обучения».</t>
  </si>
  <si>
    <t xml:space="preserve">  • Система оценки: 100-балльная буквенная (A–F), п.3; зачёт — на основе текущего контроля, п.8.</t>
  </si>
  <si>
    <t>МОДЕЛЬ ОЦЕНИВАНИЯ (веса):</t>
  </si>
  <si>
    <t xml:space="preserve">  • Практика (zadanie + устная защита) — 40 %</t>
  </si>
  <si>
    <t xml:space="preserve">  • Тесты (test.gift) — 20 %</t>
  </si>
  <si>
    <t xml:space="preserve">  • СРС (upr) — 15 %</t>
  </si>
  <si>
    <t xml:space="preserve">  • Итоговый проект (занятие 38) + защита (занятие 39) — 25 %</t>
  </si>
  <si>
    <t xml:space="preserve">  ИТОГ % = 0,20·Тесты + 0,40·Практика + 0,15·СРС + 0,25·Проект.  Порог зачёта — 50 %.</t>
  </si>
  <si>
    <t>КАК ВЕСТИ:</t>
  </si>
  <si>
    <t xml:space="preserve">  1) Лист «Список»: впишите ФИО студентов (№ = вариант задания по журналу).</t>
  </si>
  <si>
    <t xml:space="preserve">  2) Листы «Тесты», «Практика», «СРС»: оценка 0–100 (%) в день проведения; пропуск — буква «н».</t>
  </si>
  <si>
    <t xml:space="preserve">  3) Лист «Итоги»: впишите % за проект (зан.38) и защиту (зан.39); остальное считается автоматически.</t>
  </si>
  <si>
    <t xml:space="preserve">  4) Буква, GPA, 5-балльная оценка и «зачёт/незачёт» подставляются по листу «Шкала».</t>
  </si>
  <si>
    <t xml:space="preserve">  5) Итоги переносятся в официальный бланк (Приложение 14) — файл «Бланк_...».</t>
  </si>
  <si>
    <t>AI-устойчивость: практические задания и проект засчитываются только с устной защитой/демонстрацией.</t>
  </si>
  <si>
    <t>№</t>
  </si>
  <si>
    <t>Часы</t>
  </si>
  <si>
    <t>Тема занятия</t>
  </si>
  <si>
    <t>Изучить роль ИКТ и цифровых технологий в разработке и сопровождении информационных систем</t>
  </si>
  <si>
    <t>Изучить устройство ПК, ОС (Windows/Linux) и файловую систему</t>
  </si>
  <si>
    <t>Освоить работу в командной строке/терминале</t>
  </si>
  <si>
    <t>Понять представление и кодирование информации (системы счисления)</t>
  </si>
  <si>
    <t>Оформлять техническую документацию в текстовом редакторе</t>
  </si>
  <si>
    <t>Использовать электронные таблицы для расчётов и данных</t>
  </si>
  <si>
    <t>Создавать презентации для защиты проектов</t>
  </si>
  <si>
    <t>Распознавать сетевые угрозы: фишинг, вирусы, вредоносное ПО</t>
  </si>
  <si>
    <t>Применять основы информационной безопасности и цифровой гигиены</t>
  </si>
  <si>
    <t>Изучить законы РК «Об информатизации» и «О персональных данных»</t>
  </si>
  <si>
    <t>Пользоваться браузерами, поиском и оценкой достоверности информации</t>
  </si>
  <si>
    <t>Работать с облачными сервисами и совместной работой</t>
  </si>
  <si>
    <t>Изучить виды информационно-справочных и интерактивных веб-порталов</t>
  </si>
  <si>
    <t>Использовать портал eGov.kz и mGov: получение госуслуг</t>
  </si>
  <si>
    <t>Оформлять и применять электронную цифровую подпись (ЭЦП)</t>
  </si>
  <si>
    <t>Использовать справочно-правовые системы (Әділет, online.zakon.kz)</t>
  </si>
  <si>
    <t>Работать с налоговыми и бизнес-сервисами (salyk.kz, регистрация ИП)</t>
  </si>
  <si>
    <t>Оформлять лицензии и разрешения через eLicense.kz</t>
  </si>
  <si>
    <t>Использовать порталы открытых данных (data.egov.kz) и их API</t>
  </si>
  <si>
    <t>Пользоваться проф. справочными ресурсами (документация, Stack Overflow, MDN, GitHub)</t>
  </si>
  <si>
    <t>Использовать образовательные платформы (Stepik, Coursera, Хекслет)</t>
  </si>
  <si>
    <t>Использовать порталы поиска работы в ИТ (Enbek.kz, hh.kz, LinkedIn)</t>
  </si>
  <si>
    <t>Использовать электронные платежи и онлайн-банкинг (Kaspi, Halyk, QR)</t>
  </si>
  <si>
    <t>Работать с интерактивными формами и сервисами совместной работы</t>
  </si>
  <si>
    <t>Введение в ИИ, машинное обучение и человекоцентричный подход к ИИ</t>
  </si>
  <si>
    <t>Использовать ИИ-ассистенты (ChatGPT/Copilot/Gemini) для генерации и объяснения кода</t>
  </si>
  <si>
    <t>Освоить основы промпт-инжиниринга для кодовых задач</t>
  </si>
  <si>
    <t>Применять ИИ для отладки и тестирования кода</t>
  </si>
  <si>
    <t>Освоить основы Python для обработки данных</t>
  </si>
  <si>
    <t>Применять библиотеки Pandas и NumPy (загрузка, очистка, анализ)</t>
  </si>
  <si>
    <t>Создавать визуализацию данных</t>
  </si>
  <si>
    <t>Использовать ИИ для анализа и интерпретации данных</t>
  </si>
  <si>
    <t>Понимать основы ИИ-агентов и агентных сценариев (AI agents)</t>
  </si>
  <si>
    <t>Освоить основы автоматизации через API</t>
  </si>
  <si>
    <t>Использовать no-code платформы (Zapier/Make) и создать простого бота</t>
  </si>
  <si>
    <t>Критически оценивать результаты ИИ: достоверность, предвзятость, галлюцинации, дипфейки</t>
  </si>
  <si>
    <t>Изучить нормативно-правовые аспекты использования ИИ в РК</t>
  </si>
  <si>
    <t>Разработать мини-проект с применением ИИ</t>
  </si>
  <si>
    <t>Защитить итоговый проект и провести рефлексию</t>
  </si>
  <si>
    <t>Порог % (от)</t>
  </si>
  <si>
    <t>Буква</t>
  </si>
  <si>
    <t>GPA</t>
  </si>
  <si>
    <t>5-балл</t>
  </si>
  <si>
    <t>Традиционно</t>
  </si>
  <si>
    <t>Итог</t>
  </si>
  <si>
    <t>F</t>
  </si>
  <si>
    <t>Неудовлетворительно</t>
  </si>
  <si>
    <t>незачёт</t>
  </si>
  <si>
    <t>D</t>
  </si>
  <si>
    <t>Удовлетворительно</t>
  </si>
  <si>
    <t>зачёт</t>
  </si>
  <si>
    <t>D+</t>
  </si>
  <si>
    <t>C-</t>
  </si>
  <si>
    <t>C</t>
  </si>
  <si>
    <t>C+</t>
  </si>
  <si>
    <t>B-</t>
  </si>
  <si>
    <t>Хорошо</t>
  </si>
  <si>
    <t>B</t>
  </si>
  <si>
    <t>B+</t>
  </si>
  <si>
    <t>A-</t>
  </si>
  <si>
    <t>Отлично</t>
  </si>
  <si>
    <t>A</t>
  </si>
  <si>
    <t>ФИО студента</t>
  </si>
  <si>
    <t>З01</t>
  </si>
  <si>
    <t>З02</t>
  </si>
  <si>
    <t>З03</t>
  </si>
  <si>
    <t>З04</t>
  </si>
  <si>
    <t>З05</t>
  </si>
  <si>
    <t>З06</t>
  </si>
  <si>
    <t>З07</t>
  </si>
  <si>
    <t>З08</t>
  </si>
  <si>
    <t>З09</t>
  </si>
  <si>
    <t>З10</t>
  </si>
  <si>
    <t>З11</t>
  </si>
  <si>
    <t>З12</t>
  </si>
  <si>
    <t>З13</t>
  </si>
  <si>
    <t>З14</t>
  </si>
  <si>
    <t>З15</t>
  </si>
  <si>
    <t>З16</t>
  </si>
  <si>
    <t>З17</t>
  </si>
  <si>
    <t>З18</t>
  </si>
  <si>
    <t>З19</t>
  </si>
  <si>
    <t>З20</t>
  </si>
  <si>
    <t>З21</t>
  </si>
  <si>
    <t>З22</t>
  </si>
  <si>
    <t>З23</t>
  </si>
  <si>
    <t>З24</t>
  </si>
  <si>
    <t>З25</t>
  </si>
  <si>
    <t>З26</t>
  </si>
  <si>
    <t>З27</t>
  </si>
  <si>
    <t>З28</t>
  </si>
  <si>
    <t>З29</t>
  </si>
  <si>
    <t>З30</t>
  </si>
  <si>
    <t>З31</t>
  </si>
  <si>
    <t>З32</t>
  </si>
  <si>
    <t>З33</t>
  </si>
  <si>
    <t>З34</t>
  </si>
  <si>
    <t>З35</t>
  </si>
  <si>
    <t>З36</t>
  </si>
  <si>
    <t>З37</t>
  </si>
  <si>
    <t>З38</t>
  </si>
  <si>
    <t>З39</t>
  </si>
  <si>
    <t>Средний %</t>
  </si>
  <si>
    <t>Тесты %</t>
  </si>
  <si>
    <t>Практика %</t>
  </si>
  <si>
    <t>СРС %</t>
  </si>
  <si>
    <t>Проект-38 %</t>
  </si>
  <si>
    <t>Защита-39 %</t>
  </si>
  <si>
    <t>Проект %</t>
  </si>
  <si>
    <t>ИТОГ %</t>
  </si>
  <si>
    <t>Зачёт</t>
  </si>
  <si>
    <t>Рейтинг допуска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</si>
</sst>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2FBE-609F-4D7A-A634-E5CAFE4B075D}">
  <dimension ref="A1:A24"/>
  <sheetViews>
    <sheetView tabSelected="1" workbookViewId="0"/>
  </sheetViews>
  <sheetFormatPr defaultRowHeight="15" x14ac:dyDescent="0.25"/>
  <cols>
    <col min="1" max="1" width="108.7109375" customWidth="1"/>
  </cols>
  <sheetData>
    <row r="1" spans="1:1" ht="17.25" x14ac:dyDescent="0.3">
      <c r="A1" s="2" t="s">
        <v>0</v>
      </c>
    </row>
    <row r="2" spans="1:1" x14ac:dyDescent="0.25">
      <c r="A2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4" spans="1:1" x14ac:dyDescent="0.25">
      <c r="A24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60DD-8E3C-4089-9BB7-AB941C40324D}">
  <dimension ref="A1:C4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.7109375" customWidth="1"/>
    <col min="2" max="2" width="6.7109375" customWidth="1"/>
    <col min="3" max="3" width="90.7109375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>
        <v>1</v>
      </c>
      <c r="B2">
        <v>2</v>
      </c>
      <c r="C2" t="s">
        <v>22</v>
      </c>
    </row>
    <row r="3" spans="1:3" x14ac:dyDescent="0.25">
      <c r="A3">
        <v>2</v>
      </c>
      <c r="B3">
        <v>2</v>
      </c>
      <c r="C3" t="s">
        <v>23</v>
      </c>
    </row>
    <row r="4" spans="1:3" x14ac:dyDescent="0.25">
      <c r="A4">
        <v>3</v>
      </c>
      <c r="B4">
        <v>2</v>
      </c>
      <c r="C4" t="s">
        <v>24</v>
      </c>
    </row>
    <row r="5" spans="1:3" x14ac:dyDescent="0.25">
      <c r="A5">
        <v>4</v>
      </c>
      <c r="B5">
        <v>2</v>
      </c>
      <c r="C5" t="s">
        <v>25</v>
      </c>
    </row>
    <row r="6" spans="1:3" x14ac:dyDescent="0.25">
      <c r="A6">
        <v>5</v>
      </c>
      <c r="B6">
        <v>2</v>
      </c>
      <c r="C6" t="s">
        <v>26</v>
      </c>
    </row>
    <row r="7" spans="1:3" x14ac:dyDescent="0.25">
      <c r="A7">
        <v>6</v>
      </c>
      <c r="B7">
        <v>2</v>
      </c>
      <c r="C7" t="s">
        <v>27</v>
      </c>
    </row>
    <row r="8" spans="1:3" x14ac:dyDescent="0.25">
      <c r="A8">
        <v>7</v>
      </c>
      <c r="B8">
        <v>2</v>
      </c>
      <c r="C8" t="s">
        <v>28</v>
      </c>
    </row>
    <row r="9" spans="1:3" x14ac:dyDescent="0.25">
      <c r="A9">
        <v>8</v>
      </c>
      <c r="B9">
        <v>2</v>
      </c>
      <c r="C9" t="s">
        <v>29</v>
      </c>
    </row>
    <row r="10" spans="1:3" x14ac:dyDescent="0.25">
      <c r="A10">
        <v>9</v>
      </c>
      <c r="B10">
        <v>2</v>
      </c>
      <c r="C10" t="s">
        <v>30</v>
      </c>
    </row>
    <row r="11" spans="1:3" x14ac:dyDescent="0.25">
      <c r="A11">
        <v>10</v>
      </c>
      <c r="B11">
        <v>2</v>
      </c>
      <c r="C11" t="s">
        <v>31</v>
      </c>
    </row>
    <row r="12" spans="1:3" x14ac:dyDescent="0.25">
      <c r="A12">
        <v>11</v>
      </c>
      <c r="B12">
        <v>2</v>
      </c>
      <c r="C12" t="s">
        <v>32</v>
      </c>
    </row>
    <row r="13" spans="1:3" x14ac:dyDescent="0.25">
      <c r="A13">
        <v>12</v>
      </c>
      <c r="B13">
        <v>2</v>
      </c>
      <c r="C13" t="s">
        <v>33</v>
      </c>
    </row>
    <row r="14" spans="1:3" x14ac:dyDescent="0.25">
      <c r="A14">
        <v>13</v>
      </c>
      <c r="B14">
        <v>2</v>
      </c>
      <c r="C14" t="s">
        <v>34</v>
      </c>
    </row>
    <row r="15" spans="1:3" x14ac:dyDescent="0.25">
      <c r="A15">
        <v>14</v>
      </c>
      <c r="B15">
        <v>2</v>
      </c>
      <c r="C15" t="s">
        <v>35</v>
      </c>
    </row>
    <row r="16" spans="1:3" x14ac:dyDescent="0.25">
      <c r="A16">
        <v>15</v>
      </c>
      <c r="B16">
        <v>2</v>
      </c>
      <c r="C16" t="s">
        <v>36</v>
      </c>
    </row>
    <row r="17" spans="1:3" x14ac:dyDescent="0.25">
      <c r="A17">
        <v>16</v>
      </c>
      <c r="B17">
        <v>2</v>
      </c>
      <c r="C17" t="s">
        <v>37</v>
      </c>
    </row>
    <row r="18" spans="1:3" x14ac:dyDescent="0.25">
      <c r="A18">
        <v>17</v>
      </c>
      <c r="B18">
        <v>2</v>
      </c>
      <c r="C18" t="s">
        <v>38</v>
      </c>
    </row>
    <row r="19" spans="1:3" x14ac:dyDescent="0.25">
      <c r="A19">
        <v>18</v>
      </c>
      <c r="B19">
        <v>2</v>
      </c>
      <c r="C19" t="s">
        <v>39</v>
      </c>
    </row>
    <row r="20" spans="1:3" x14ac:dyDescent="0.25">
      <c r="A20">
        <v>19</v>
      </c>
      <c r="B20">
        <v>2</v>
      </c>
      <c r="C20" t="s">
        <v>40</v>
      </c>
    </row>
    <row r="21" spans="1:3" x14ac:dyDescent="0.25">
      <c r="A21">
        <v>20</v>
      </c>
      <c r="B21">
        <v>2</v>
      </c>
      <c r="C21" t="s">
        <v>41</v>
      </c>
    </row>
    <row r="22" spans="1:3" x14ac:dyDescent="0.25">
      <c r="A22">
        <v>21</v>
      </c>
      <c r="B22">
        <v>2</v>
      </c>
      <c r="C22" t="s">
        <v>42</v>
      </c>
    </row>
    <row r="23" spans="1:3" x14ac:dyDescent="0.25">
      <c r="A23">
        <v>22</v>
      </c>
      <c r="B23">
        <v>2</v>
      </c>
      <c r="C23" t="s">
        <v>43</v>
      </c>
    </row>
    <row r="24" spans="1:3" x14ac:dyDescent="0.25">
      <c r="A24">
        <v>23</v>
      </c>
      <c r="B24">
        <v>2</v>
      </c>
      <c r="C24" t="s">
        <v>44</v>
      </c>
    </row>
    <row r="25" spans="1:3" x14ac:dyDescent="0.25">
      <c r="A25">
        <v>24</v>
      </c>
      <c r="B25">
        <v>2</v>
      </c>
      <c r="C25" t="s">
        <v>45</v>
      </c>
    </row>
    <row r="26" spans="1:3" x14ac:dyDescent="0.25">
      <c r="A26">
        <v>25</v>
      </c>
      <c r="B26">
        <v>2</v>
      </c>
      <c r="C26" t="s">
        <v>46</v>
      </c>
    </row>
    <row r="27" spans="1:3" x14ac:dyDescent="0.25">
      <c r="A27">
        <v>26</v>
      </c>
      <c r="B27">
        <v>6</v>
      </c>
      <c r="C27" t="s">
        <v>47</v>
      </c>
    </row>
    <row r="28" spans="1:3" x14ac:dyDescent="0.25">
      <c r="A28">
        <v>27</v>
      </c>
      <c r="B28">
        <v>4</v>
      </c>
      <c r="C28" t="s">
        <v>48</v>
      </c>
    </row>
    <row r="29" spans="1:3" x14ac:dyDescent="0.25">
      <c r="A29">
        <v>28</v>
      </c>
      <c r="B29">
        <v>4</v>
      </c>
      <c r="C29" t="s">
        <v>49</v>
      </c>
    </row>
    <row r="30" spans="1:3" x14ac:dyDescent="0.25">
      <c r="A30">
        <v>29</v>
      </c>
      <c r="B30">
        <v>6</v>
      </c>
      <c r="C30" t="s">
        <v>50</v>
      </c>
    </row>
    <row r="31" spans="1:3" x14ac:dyDescent="0.25">
      <c r="A31">
        <v>30</v>
      </c>
      <c r="B31">
        <v>4</v>
      </c>
      <c r="C31" t="s">
        <v>51</v>
      </c>
    </row>
    <row r="32" spans="1:3" x14ac:dyDescent="0.25">
      <c r="A32">
        <v>31</v>
      </c>
      <c r="B32">
        <v>2</v>
      </c>
      <c r="C32" t="s">
        <v>52</v>
      </c>
    </row>
    <row r="33" spans="1:3" x14ac:dyDescent="0.25">
      <c r="A33">
        <v>32</v>
      </c>
      <c r="B33">
        <v>2</v>
      </c>
      <c r="C33" t="s">
        <v>53</v>
      </c>
    </row>
    <row r="34" spans="1:3" x14ac:dyDescent="0.25">
      <c r="A34">
        <v>33</v>
      </c>
      <c r="B34">
        <v>2</v>
      </c>
      <c r="C34" t="s">
        <v>54</v>
      </c>
    </row>
    <row r="35" spans="1:3" x14ac:dyDescent="0.25">
      <c r="A35">
        <v>34</v>
      </c>
      <c r="B35">
        <v>4</v>
      </c>
      <c r="C35" t="s">
        <v>55</v>
      </c>
    </row>
    <row r="36" spans="1:3" x14ac:dyDescent="0.25">
      <c r="A36">
        <v>35</v>
      </c>
      <c r="B36">
        <v>4</v>
      </c>
      <c r="C36" t="s">
        <v>56</v>
      </c>
    </row>
    <row r="37" spans="1:3" x14ac:dyDescent="0.25">
      <c r="A37">
        <v>36</v>
      </c>
      <c r="B37">
        <v>2</v>
      </c>
      <c r="C37" t="s">
        <v>57</v>
      </c>
    </row>
    <row r="38" spans="1:3" x14ac:dyDescent="0.25">
      <c r="A38">
        <v>37</v>
      </c>
      <c r="B38">
        <v>2</v>
      </c>
      <c r="C38" t="s">
        <v>58</v>
      </c>
    </row>
    <row r="39" spans="1:3" x14ac:dyDescent="0.25">
      <c r="A39">
        <v>38</v>
      </c>
      <c r="B39">
        <v>2</v>
      </c>
      <c r="C39" t="s">
        <v>59</v>
      </c>
    </row>
    <row r="40" spans="1:3" x14ac:dyDescent="0.25">
      <c r="A40">
        <v>39</v>
      </c>
      <c r="B40">
        <v>2</v>
      </c>
      <c r="C40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18D1-59D3-4EE8-B728-CA06768FADB5}">
  <dimension ref="A1:F12"/>
  <sheetViews>
    <sheetView workbookViewId="0"/>
  </sheetViews>
  <sheetFormatPr defaultRowHeight="15" x14ac:dyDescent="0.25"/>
  <cols>
    <col min="1" max="1" width="12.7109375" customWidth="1"/>
    <col min="5" max="5" width="22.7109375" customWidth="1"/>
    <col min="6" max="6" width="10.7109375" customWidth="1"/>
  </cols>
  <sheetData>
    <row r="1" spans="1:6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 x14ac:dyDescent="0.25">
      <c r="A2">
        <v>0</v>
      </c>
      <c r="B2" t="s">
        <v>67</v>
      </c>
      <c r="C2">
        <v>0</v>
      </c>
      <c r="D2">
        <v>2</v>
      </c>
      <c r="E2" t="s">
        <v>68</v>
      </c>
      <c r="F2" t="s">
        <v>69</v>
      </c>
    </row>
    <row r="3" spans="1:6" x14ac:dyDescent="0.25">
      <c r="A3">
        <v>50</v>
      </c>
      <c r="B3" t="s">
        <v>70</v>
      </c>
      <c r="C3">
        <v>1</v>
      </c>
      <c r="D3">
        <v>3</v>
      </c>
      <c r="E3" t="s">
        <v>71</v>
      </c>
      <c r="F3" t="s">
        <v>72</v>
      </c>
    </row>
    <row r="4" spans="1:6" x14ac:dyDescent="0.25">
      <c r="A4">
        <v>55</v>
      </c>
      <c r="B4" t="s">
        <v>73</v>
      </c>
      <c r="C4">
        <v>1.33</v>
      </c>
      <c r="D4">
        <v>3</v>
      </c>
      <c r="E4" t="s">
        <v>71</v>
      </c>
      <c r="F4" t="s">
        <v>72</v>
      </c>
    </row>
    <row r="5" spans="1:6" x14ac:dyDescent="0.25">
      <c r="A5">
        <v>60</v>
      </c>
      <c r="B5" t="s">
        <v>74</v>
      </c>
      <c r="C5">
        <v>1.67</v>
      </c>
      <c r="D5">
        <v>3</v>
      </c>
      <c r="E5" t="s">
        <v>71</v>
      </c>
      <c r="F5" t="s">
        <v>72</v>
      </c>
    </row>
    <row r="6" spans="1:6" x14ac:dyDescent="0.25">
      <c r="A6">
        <v>65</v>
      </c>
      <c r="B6" t="s">
        <v>75</v>
      </c>
      <c r="C6">
        <v>2</v>
      </c>
      <c r="D6">
        <v>3</v>
      </c>
      <c r="E6" t="s">
        <v>71</v>
      </c>
      <c r="F6" t="s">
        <v>72</v>
      </c>
    </row>
    <row r="7" spans="1:6" x14ac:dyDescent="0.25">
      <c r="A7">
        <v>70</v>
      </c>
      <c r="B7" t="s">
        <v>76</v>
      </c>
      <c r="C7">
        <v>2.33</v>
      </c>
      <c r="D7">
        <v>3</v>
      </c>
      <c r="E7" t="s">
        <v>71</v>
      </c>
      <c r="F7" t="s">
        <v>72</v>
      </c>
    </row>
    <row r="8" spans="1:6" x14ac:dyDescent="0.25">
      <c r="A8">
        <v>75</v>
      </c>
      <c r="B8" t="s">
        <v>77</v>
      </c>
      <c r="C8">
        <v>2.67</v>
      </c>
      <c r="D8">
        <v>4</v>
      </c>
      <c r="E8" t="s">
        <v>78</v>
      </c>
      <c r="F8" t="s">
        <v>72</v>
      </c>
    </row>
    <row r="9" spans="1:6" x14ac:dyDescent="0.25">
      <c r="A9">
        <v>80</v>
      </c>
      <c r="B9" t="s">
        <v>79</v>
      </c>
      <c r="C9">
        <v>3</v>
      </c>
      <c r="D9">
        <v>4</v>
      </c>
      <c r="E9" t="s">
        <v>78</v>
      </c>
      <c r="F9" t="s">
        <v>72</v>
      </c>
    </row>
    <row r="10" spans="1:6" x14ac:dyDescent="0.25">
      <c r="A10">
        <v>85</v>
      </c>
      <c r="B10" t="s">
        <v>80</v>
      </c>
      <c r="C10">
        <v>3.33</v>
      </c>
      <c r="D10">
        <v>4</v>
      </c>
      <c r="E10" t="s">
        <v>78</v>
      </c>
      <c r="F10" t="s">
        <v>72</v>
      </c>
    </row>
    <row r="11" spans="1:6" x14ac:dyDescent="0.25">
      <c r="A11">
        <v>90</v>
      </c>
      <c r="B11" t="s">
        <v>81</v>
      </c>
      <c r="C11">
        <v>3.67</v>
      </c>
      <c r="D11">
        <v>5</v>
      </c>
      <c r="E11" t="s">
        <v>82</v>
      </c>
      <c r="F11" t="s">
        <v>72</v>
      </c>
    </row>
    <row r="12" spans="1:6" x14ac:dyDescent="0.25">
      <c r="A12">
        <v>95</v>
      </c>
      <c r="B12" t="s">
        <v>83</v>
      </c>
      <c r="C12">
        <v>4</v>
      </c>
      <c r="D12">
        <v>5</v>
      </c>
      <c r="E12" t="s">
        <v>82</v>
      </c>
      <c r="F1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236E-7328-4EDC-AEBC-6ECE60BE79DD}">
  <dimension ref="A1:B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.7109375" customWidth="1"/>
    <col min="2" max="2" width="40.7109375" customWidth="1"/>
  </cols>
  <sheetData>
    <row r="1" spans="1:2" x14ac:dyDescent="0.25">
      <c r="A1" s="1" t="s">
        <v>19</v>
      </c>
      <c r="B1" s="1" t="s">
        <v>84</v>
      </c>
    </row>
    <row r="2" spans="1:2" x14ac:dyDescent="0.25">
      <c r="A2">
        <v>1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CAE4-0BAD-42BC-963A-CD89AC41F3E7}">
  <dimension ref="A1:AP26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32.7109375" customWidth="1"/>
  </cols>
  <sheetData>
    <row r="1" spans="1:42" x14ac:dyDescent="0.25">
      <c r="A1" s="1" t="s">
        <v>19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</row>
    <row r="2" spans="1:42" x14ac:dyDescent="0.25">
      <c r="A2">
        <f>Список!A2</f>
        <v>1</v>
      </c>
      <c r="B2">
        <f>Список!B2</f>
        <v>0</v>
      </c>
      <c r="AP2" t="str">
        <f>IFERROR(AVERAGE(C2:AO2),"")</f>
        <v/>
      </c>
    </row>
    <row r="3" spans="1:42" x14ac:dyDescent="0.25">
      <c r="A3">
        <f>Список!A3</f>
        <v>2</v>
      </c>
      <c r="B3">
        <f>Список!B3</f>
        <v>0</v>
      </c>
      <c r="AP3" t="str">
        <f>IFERROR(AVERAGE(C3:AO3),"")</f>
        <v/>
      </c>
    </row>
    <row r="4" spans="1:42" x14ac:dyDescent="0.25">
      <c r="A4">
        <f>Список!A4</f>
        <v>3</v>
      </c>
      <c r="B4">
        <f>Список!B4</f>
        <v>0</v>
      </c>
      <c r="AP4" t="str">
        <f>IFERROR(AVERAGE(C4:AO4),"")</f>
        <v/>
      </c>
    </row>
    <row r="5" spans="1:42" x14ac:dyDescent="0.25">
      <c r="A5">
        <f>Список!A5</f>
        <v>4</v>
      </c>
      <c r="B5">
        <f>Список!B5</f>
        <v>0</v>
      </c>
      <c r="AP5" t="str">
        <f>IFERROR(AVERAGE(C5:AO5),"")</f>
        <v/>
      </c>
    </row>
    <row r="6" spans="1:42" x14ac:dyDescent="0.25">
      <c r="A6">
        <f>Список!A6</f>
        <v>5</v>
      </c>
      <c r="B6">
        <f>Список!B6</f>
        <v>0</v>
      </c>
      <c r="AP6" t="str">
        <f>IFERROR(AVERAGE(C6:AO6),"")</f>
        <v/>
      </c>
    </row>
    <row r="7" spans="1:42" x14ac:dyDescent="0.25">
      <c r="A7">
        <f>Список!A7</f>
        <v>6</v>
      </c>
      <c r="B7">
        <f>Список!B7</f>
        <v>0</v>
      </c>
      <c r="AP7" t="str">
        <f>IFERROR(AVERAGE(C7:AO7),"")</f>
        <v/>
      </c>
    </row>
    <row r="8" spans="1:42" x14ac:dyDescent="0.25">
      <c r="A8">
        <f>Список!A8</f>
        <v>7</v>
      </c>
      <c r="B8">
        <f>Список!B8</f>
        <v>0</v>
      </c>
      <c r="AP8" t="str">
        <f>IFERROR(AVERAGE(C8:AO8),"")</f>
        <v/>
      </c>
    </row>
    <row r="9" spans="1:42" x14ac:dyDescent="0.25">
      <c r="A9">
        <f>Список!A9</f>
        <v>8</v>
      </c>
      <c r="B9">
        <f>Список!B9</f>
        <v>0</v>
      </c>
      <c r="AP9" t="str">
        <f>IFERROR(AVERAGE(C9:AO9),"")</f>
        <v/>
      </c>
    </row>
    <row r="10" spans="1:42" x14ac:dyDescent="0.25">
      <c r="A10">
        <f>Список!A10</f>
        <v>9</v>
      </c>
      <c r="B10">
        <f>Список!B10</f>
        <v>0</v>
      </c>
      <c r="AP10" t="str">
        <f>IFERROR(AVERAGE(C10:AO10),"")</f>
        <v/>
      </c>
    </row>
    <row r="11" spans="1:42" x14ac:dyDescent="0.25">
      <c r="A11">
        <f>Список!A11</f>
        <v>10</v>
      </c>
      <c r="B11">
        <f>Список!B11</f>
        <v>0</v>
      </c>
      <c r="AP11" t="str">
        <f>IFERROR(AVERAGE(C11:AO11),"")</f>
        <v/>
      </c>
    </row>
    <row r="12" spans="1:42" x14ac:dyDescent="0.25">
      <c r="A12">
        <f>Список!A12</f>
        <v>11</v>
      </c>
      <c r="B12">
        <f>Список!B12</f>
        <v>0</v>
      </c>
      <c r="AP12" t="str">
        <f>IFERROR(AVERAGE(C12:AO12),"")</f>
        <v/>
      </c>
    </row>
    <row r="13" spans="1:42" x14ac:dyDescent="0.25">
      <c r="A13">
        <f>Список!A13</f>
        <v>12</v>
      </c>
      <c r="B13">
        <f>Список!B13</f>
        <v>0</v>
      </c>
      <c r="AP13" t="str">
        <f>IFERROR(AVERAGE(C13:AO13),"")</f>
        <v/>
      </c>
    </row>
    <row r="14" spans="1:42" x14ac:dyDescent="0.25">
      <c r="A14">
        <f>Список!A14</f>
        <v>13</v>
      </c>
      <c r="B14">
        <f>Список!B14</f>
        <v>0</v>
      </c>
      <c r="AP14" t="str">
        <f>IFERROR(AVERAGE(C14:AO14),"")</f>
        <v/>
      </c>
    </row>
    <row r="15" spans="1:42" x14ac:dyDescent="0.25">
      <c r="A15">
        <f>Список!A15</f>
        <v>14</v>
      </c>
      <c r="B15">
        <f>Список!B15</f>
        <v>0</v>
      </c>
      <c r="AP15" t="str">
        <f>IFERROR(AVERAGE(C15:AO15),"")</f>
        <v/>
      </c>
    </row>
    <row r="16" spans="1:42" x14ac:dyDescent="0.25">
      <c r="A16">
        <f>Список!A16</f>
        <v>15</v>
      </c>
      <c r="B16">
        <f>Список!B16</f>
        <v>0</v>
      </c>
      <c r="AP16" t="str">
        <f>IFERROR(AVERAGE(C16:AO16),"")</f>
        <v/>
      </c>
    </row>
    <row r="17" spans="1:42" x14ac:dyDescent="0.25">
      <c r="A17">
        <f>Список!A17</f>
        <v>16</v>
      </c>
      <c r="B17">
        <f>Список!B17</f>
        <v>0</v>
      </c>
      <c r="AP17" t="str">
        <f>IFERROR(AVERAGE(C17:AO17),"")</f>
        <v/>
      </c>
    </row>
    <row r="18" spans="1:42" x14ac:dyDescent="0.25">
      <c r="A18">
        <f>Список!A18</f>
        <v>17</v>
      </c>
      <c r="B18">
        <f>Список!B18</f>
        <v>0</v>
      </c>
      <c r="AP18" t="str">
        <f>IFERROR(AVERAGE(C18:AO18),"")</f>
        <v/>
      </c>
    </row>
    <row r="19" spans="1:42" x14ac:dyDescent="0.25">
      <c r="A19">
        <f>Список!A19</f>
        <v>18</v>
      </c>
      <c r="B19">
        <f>Список!B19</f>
        <v>0</v>
      </c>
      <c r="AP19" t="str">
        <f>IFERROR(AVERAGE(C19:AO19),"")</f>
        <v/>
      </c>
    </row>
    <row r="20" spans="1:42" x14ac:dyDescent="0.25">
      <c r="A20">
        <f>Список!A20</f>
        <v>19</v>
      </c>
      <c r="B20">
        <f>Список!B20</f>
        <v>0</v>
      </c>
      <c r="AP20" t="str">
        <f>IFERROR(AVERAGE(C20:AO20),"")</f>
        <v/>
      </c>
    </row>
    <row r="21" spans="1:42" x14ac:dyDescent="0.25">
      <c r="A21">
        <f>Список!A21</f>
        <v>20</v>
      </c>
      <c r="B21">
        <f>Список!B21</f>
        <v>0</v>
      </c>
      <c r="AP21" t="str">
        <f>IFERROR(AVERAGE(C21:AO21),"")</f>
        <v/>
      </c>
    </row>
    <row r="22" spans="1:42" x14ac:dyDescent="0.25">
      <c r="A22">
        <f>Список!A22</f>
        <v>21</v>
      </c>
      <c r="B22">
        <f>Список!B22</f>
        <v>0</v>
      </c>
      <c r="AP22" t="str">
        <f>IFERROR(AVERAGE(C22:AO22),"")</f>
        <v/>
      </c>
    </row>
    <row r="23" spans="1:42" x14ac:dyDescent="0.25">
      <c r="A23">
        <f>Список!A23</f>
        <v>22</v>
      </c>
      <c r="B23">
        <f>Список!B23</f>
        <v>0</v>
      </c>
      <c r="AP23" t="str">
        <f>IFERROR(AVERAGE(C23:AO23),"")</f>
        <v/>
      </c>
    </row>
    <row r="24" spans="1:42" x14ac:dyDescent="0.25">
      <c r="A24">
        <f>Список!A24</f>
        <v>23</v>
      </c>
      <c r="B24">
        <f>Список!B24</f>
        <v>0</v>
      </c>
      <c r="AP24" t="str">
        <f>IFERROR(AVERAGE(C24:AO24),"")</f>
        <v/>
      </c>
    </row>
    <row r="25" spans="1:42" x14ac:dyDescent="0.25">
      <c r="A25">
        <f>Список!A25</f>
        <v>24</v>
      </c>
      <c r="B25">
        <f>Список!B25</f>
        <v>0</v>
      </c>
      <c r="AP25" t="str">
        <f>IFERROR(AVERAGE(C25:AO25),"")</f>
        <v/>
      </c>
    </row>
    <row r="26" spans="1:42" x14ac:dyDescent="0.25">
      <c r="A26">
        <f>Список!A26</f>
        <v>25</v>
      </c>
      <c r="B26">
        <f>Список!B26</f>
        <v>0</v>
      </c>
      <c r="AP26" t="str">
        <f>IFERROR(AVERAGE(C26:AO26),"")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E39B-114D-4906-AE51-C9A7B4884700}">
  <dimension ref="A1:AP26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32.7109375" customWidth="1"/>
  </cols>
  <sheetData>
    <row r="1" spans="1:42" x14ac:dyDescent="0.25">
      <c r="A1" s="1" t="s">
        <v>19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</row>
    <row r="2" spans="1:42" x14ac:dyDescent="0.25">
      <c r="A2">
        <f>Список!A2</f>
        <v>1</v>
      </c>
      <c r="B2">
        <f>Список!B2</f>
        <v>0</v>
      </c>
      <c r="AP2" t="str">
        <f>IFERROR(AVERAGE(C2:AO2),"")</f>
        <v/>
      </c>
    </row>
    <row r="3" spans="1:42" x14ac:dyDescent="0.25">
      <c r="A3">
        <f>Список!A3</f>
        <v>2</v>
      </c>
      <c r="B3">
        <f>Список!B3</f>
        <v>0</v>
      </c>
      <c r="AP3" t="str">
        <f>IFERROR(AVERAGE(C3:AO3),"")</f>
        <v/>
      </c>
    </row>
    <row r="4" spans="1:42" x14ac:dyDescent="0.25">
      <c r="A4">
        <f>Список!A4</f>
        <v>3</v>
      </c>
      <c r="B4">
        <f>Список!B4</f>
        <v>0</v>
      </c>
      <c r="AP4" t="str">
        <f>IFERROR(AVERAGE(C4:AO4),"")</f>
        <v/>
      </c>
    </row>
    <row r="5" spans="1:42" x14ac:dyDescent="0.25">
      <c r="A5">
        <f>Список!A5</f>
        <v>4</v>
      </c>
      <c r="B5">
        <f>Список!B5</f>
        <v>0</v>
      </c>
      <c r="AP5" t="str">
        <f>IFERROR(AVERAGE(C5:AO5),"")</f>
        <v/>
      </c>
    </row>
    <row r="6" spans="1:42" x14ac:dyDescent="0.25">
      <c r="A6">
        <f>Список!A6</f>
        <v>5</v>
      </c>
      <c r="B6">
        <f>Список!B6</f>
        <v>0</v>
      </c>
      <c r="AP6" t="str">
        <f>IFERROR(AVERAGE(C6:AO6),"")</f>
        <v/>
      </c>
    </row>
    <row r="7" spans="1:42" x14ac:dyDescent="0.25">
      <c r="A7">
        <f>Список!A7</f>
        <v>6</v>
      </c>
      <c r="B7">
        <f>Список!B7</f>
        <v>0</v>
      </c>
      <c r="AP7" t="str">
        <f>IFERROR(AVERAGE(C7:AO7),"")</f>
        <v/>
      </c>
    </row>
    <row r="8" spans="1:42" x14ac:dyDescent="0.25">
      <c r="A8">
        <f>Список!A8</f>
        <v>7</v>
      </c>
      <c r="B8">
        <f>Список!B8</f>
        <v>0</v>
      </c>
      <c r="AP8" t="str">
        <f>IFERROR(AVERAGE(C8:AO8),"")</f>
        <v/>
      </c>
    </row>
    <row r="9" spans="1:42" x14ac:dyDescent="0.25">
      <c r="A9">
        <f>Список!A9</f>
        <v>8</v>
      </c>
      <c r="B9">
        <f>Список!B9</f>
        <v>0</v>
      </c>
      <c r="AP9" t="str">
        <f>IFERROR(AVERAGE(C9:AO9),"")</f>
        <v/>
      </c>
    </row>
    <row r="10" spans="1:42" x14ac:dyDescent="0.25">
      <c r="A10">
        <f>Список!A10</f>
        <v>9</v>
      </c>
      <c r="B10">
        <f>Список!B10</f>
        <v>0</v>
      </c>
      <c r="AP10" t="str">
        <f>IFERROR(AVERAGE(C10:AO10),"")</f>
        <v/>
      </c>
    </row>
    <row r="11" spans="1:42" x14ac:dyDescent="0.25">
      <c r="A11">
        <f>Список!A11</f>
        <v>10</v>
      </c>
      <c r="B11">
        <f>Список!B11</f>
        <v>0</v>
      </c>
      <c r="AP11" t="str">
        <f>IFERROR(AVERAGE(C11:AO11),"")</f>
        <v/>
      </c>
    </row>
    <row r="12" spans="1:42" x14ac:dyDescent="0.25">
      <c r="A12">
        <f>Список!A12</f>
        <v>11</v>
      </c>
      <c r="B12">
        <f>Список!B12</f>
        <v>0</v>
      </c>
      <c r="AP12" t="str">
        <f>IFERROR(AVERAGE(C12:AO12),"")</f>
        <v/>
      </c>
    </row>
    <row r="13" spans="1:42" x14ac:dyDescent="0.25">
      <c r="A13">
        <f>Список!A13</f>
        <v>12</v>
      </c>
      <c r="B13">
        <f>Список!B13</f>
        <v>0</v>
      </c>
      <c r="AP13" t="str">
        <f>IFERROR(AVERAGE(C13:AO13),"")</f>
        <v/>
      </c>
    </row>
    <row r="14" spans="1:42" x14ac:dyDescent="0.25">
      <c r="A14">
        <f>Список!A14</f>
        <v>13</v>
      </c>
      <c r="B14">
        <f>Список!B14</f>
        <v>0</v>
      </c>
      <c r="AP14" t="str">
        <f>IFERROR(AVERAGE(C14:AO14),"")</f>
        <v/>
      </c>
    </row>
    <row r="15" spans="1:42" x14ac:dyDescent="0.25">
      <c r="A15">
        <f>Список!A15</f>
        <v>14</v>
      </c>
      <c r="B15">
        <f>Список!B15</f>
        <v>0</v>
      </c>
      <c r="AP15" t="str">
        <f>IFERROR(AVERAGE(C15:AO15),"")</f>
        <v/>
      </c>
    </row>
    <row r="16" spans="1:42" x14ac:dyDescent="0.25">
      <c r="A16">
        <f>Список!A16</f>
        <v>15</v>
      </c>
      <c r="B16">
        <f>Список!B16</f>
        <v>0</v>
      </c>
      <c r="AP16" t="str">
        <f>IFERROR(AVERAGE(C16:AO16),"")</f>
        <v/>
      </c>
    </row>
    <row r="17" spans="1:42" x14ac:dyDescent="0.25">
      <c r="A17">
        <f>Список!A17</f>
        <v>16</v>
      </c>
      <c r="B17">
        <f>Список!B17</f>
        <v>0</v>
      </c>
      <c r="AP17" t="str">
        <f>IFERROR(AVERAGE(C17:AO17),"")</f>
        <v/>
      </c>
    </row>
    <row r="18" spans="1:42" x14ac:dyDescent="0.25">
      <c r="A18">
        <f>Список!A18</f>
        <v>17</v>
      </c>
      <c r="B18">
        <f>Список!B18</f>
        <v>0</v>
      </c>
      <c r="AP18" t="str">
        <f>IFERROR(AVERAGE(C18:AO18),"")</f>
        <v/>
      </c>
    </row>
    <row r="19" spans="1:42" x14ac:dyDescent="0.25">
      <c r="A19">
        <f>Список!A19</f>
        <v>18</v>
      </c>
      <c r="B19">
        <f>Список!B19</f>
        <v>0</v>
      </c>
      <c r="AP19" t="str">
        <f>IFERROR(AVERAGE(C19:AO19),"")</f>
        <v/>
      </c>
    </row>
    <row r="20" spans="1:42" x14ac:dyDescent="0.25">
      <c r="A20">
        <f>Список!A20</f>
        <v>19</v>
      </c>
      <c r="B20">
        <f>Список!B20</f>
        <v>0</v>
      </c>
      <c r="AP20" t="str">
        <f>IFERROR(AVERAGE(C20:AO20),"")</f>
        <v/>
      </c>
    </row>
    <row r="21" spans="1:42" x14ac:dyDescent="0.25">
      <c r="A21">
        <f>Список!A21</f>
        <v>20</v>
      </c>
      <c r="B21">
        <f>Список!B21</f>
        <v>0</v>
      </c>
      <c r="AP21" t="str">
        <f>IFERROR(AVERAGE(C21:AO21),"")</f>
        <v/>
      </c>
    </row>
    <row r="22" spans="1:42" x14ac:dyDescent="0.25">
      <c r="A22">
        <f>Список!A22</f>
        <v>21</v>
      </c>
      <c r="B22">
        <f>Список!B22</f>
        <v>0</v>
      </c>
      <c r="AP22" t="str">
        <f>IFERROR(AVERAGE(C22:AO22),"")</f>
        <v/>
      </c>
    </row>
    <row r="23" spans="1:42" x14ac:dyDescent="0.25">
      <c r="A23">
        <f>Список!A23</f>
        <v>22</v>
      </c>
      <c r="B23">
        <f>Список!B23</f>
        <v>0</v>
      </c>
      <c r="AP23" t="str">
        <f>IFERROR(AVERAGE(C23:AO23),"")</f>
        <v/>
      </c>
    </row>
    <row r="24" spans="1:42" x14ac:dyDescent="0.25">
      <c r="A24">
        <f>Список!A24</f>
        <v>23</v>
      </c>
      <c r="B24">
        <f>Список!B24</f>
        <v>0</v>
      </c>
      <c r="AP24" t="str">
        <f>IFERROR(AVERAGE(C24:AO24),"")</f>
        <v/>
      </c>
    </row>
    <row r="25" spans="1:42" x14ac:dyDescent="0.25">
      <c r="A25">
        <f>Список!A25</f>
        <v>24</v>
      </c>
      <c r="B25">
        <f>Список!B25</f>
        <v>0</v>
      </c>
      <c r="AP25" t="str">
        <f>IFERROR(AVERAGE(C25:AO25),"")</f>
        <v/>
      </c>
    </row>
    <row r="26" spans="1:42" x14ac:dyDescent="0.25">
      <c r="A26">
        <f>Список!A26</f>
        <v>25</v>
      </c>
      <c r="B26">
        <f>Список!B26</f>
        <v>0</v>
      </c>
      <c r="AP26" t="str">
        <f>IFERROR(AVERAGE(C26:AO26),"")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F3AF-0C29-4175-8E79-9F392A8F5829}">
  <dimension ref="A1:AP26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32.7109375" customWidth="1"/>
  </cols>
  <sheetData>
    <row r="1" spans="1:42" x14ac:dyDescent="0.25">
      <c r="A1" s="1" t="s">
        <v>19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</row>
    <row r="2" spans="1:42" x14ac:dyDescent="0.25">
      <c r="A2">
        <f>Список!A2</f>
        <v>1</v>
      </c>
      <c r="B2">
        <f>Список!B2</f>
        <v>0</v>
      </c>
      <c r="AP2" t="str">
        <f>IFERROR(AVERAGE(C2:AO2),"")</f>
        <v/>
      </c>
    </row>
    <row r="3" spans="1:42" x14ac:dyDescent="0.25">
      <c r="A3">
        <f>Список!A3</f>
        <v>2</v>
      </c>
      <c r="B3">
        <f>Список!B3</f>
        <v>0</v>
      </c>
      <c r="AP3" t="str">
        <f>IFERROR(AVERAGE(C3:AO3),"")</f>
        <v/>
      </c>
    </row>
    <row r="4" spans="1:42" x14ac:dyDescent="0.25">
      <c r="A4">
        <f>Список!A4</f>
        <v>3</v>
      </c>
      <c r="B4">
        <f>Список!B4</f>
        <v>0</v>
      </c>
      <c r="AP4" t="str">
        <f>IFERROR(AVERAGE(C4:AO4),"")</f>
        <v/>
      </c>
    </row>
    <row r="5" spans="1:42" x14ac:dyDescent="0.25">
      <c r="A5">
        <f>Список!A5</f>
        <v>4</v>
      </c>
      <c r="B5">
        <f>Список!B5</f>
        <v>0</v>
      </c>
      <c r="AP5" t="str">
        <f>IFERROR(AVERAGE(C5:AO5),"")</f>
        <v/>
      </c>
    </row>
    <row r="6" spans="1:42" x14ac:dyDescent="0.25">
      <c r="A6">
        <f>Список!A6</f>
        <v>5</v>
      </c>
      <c r="B6">
        <f>Список!B6</f>
        <v>0</v>
      </c>
      <c r="AP6" t="str">
        <f>IFERROR(AVERAGE(C6:AO6),"")</f>
        <v/>
      </c>
    </row>
    <row r="7" spans="1:42" x14ac:dyDescent="0.25">
      <c r="A7">
        <f>Список!A7</f>
        <v>6</v>
      </c>
      <c r="B7">
        <f>Список!B7</f>
        <v>0</v>
      </c>
      <c r="AP7" t="str">
        <f>IFERROR(AVERAGE(C7:AO7),"")</f>
        <v/>
      </c>
    </row>
    <row r="8" spans="1:42" x14ac:dyDescent="0.25">
      <c r="A8">
        <f>Список!A8</f>
        <v>7</v>
      </c>
      <c r="B8">
        <f>Список!B8</f>
        <v>0</v>
      </c>
      <c r="AP8" t="str">
        <f>IFERROR(AVERAGE(C8:AO8),"")</f>
        <v/>
      </c>
    </row>
    <row r="9" spans="1:42" x14ac:dyDescent="0.25">
      <c r="A9">
        <f>Список!A9</f>
        <v>8</v>
      </c>
      <c r="B9">
        <f>Список!B9</f>
        <v>0</v>
      </c>
      <c r="AP9" t="str">
        <f>IFERROR(AVERAGE(C9:AO9),"")</f>
        <v/>
      </c>
    </row>
    <row r="10" spans="1:42" x14ac:dyDescent="0.25">
      <c r="A10">
        <f>Список!A10</f>
        <v>9</v>
      </c>
      <c r="B10">
        <f>Список!B10</f>
        <v>0</v>
      </c>
      <c r="AP10" t="str">
        <f>IFERROR(AVERAGE(C10:AO10),"")</f>
        <v/>
      </c>
    </row>
    <row r="11" spans="1:42" x14ac:dyDescent="0.25">
      <c r="A11">
        <f>Список!A11</f>
        <v>10</v>
      </c>
      <c r="B11">
        <f>Список!B11</f>
        <v>0</v>
      </c>
      <c r="AP11" t="str">
        <f>IFERROR(AVERAGE(C11:AO11),"")</f>
        <v/>
      </c>
    </row>
    <row r="12" spans="1:42" x14ac:dyDescent="0.25">
      <c r="A12">
        <f>Список!A12</f>
        <v>11</v>
      </c>
      <c r="B12">
        <f>Список!B12</f>
        <v>0</v>
      </c>
      <c r="AP12" t="str">
        <f>IFERROR(AVERAGE(C12:AO12),"")</f>
        <v/>
      </c>
    </row>
    <row r="13" spans="1:42" x14ac:dyDescent="0.25">
      <c r="A13">
        <f>Список!A13</f>
        <v>12</v>
      </c>
      <c r="B13">
        <f>Список!B13</f>
        <v>0</v>
      </c>
      <c r="AP13" t="str">
        <f>IFERROR(AVERAGE(C13:AO13),"")</f>
        <v/>
      </c>
    </row>
    <row r="14" spans="1:42" x14ac:dyDescent="0.25">
      <c r="A14">
        <f>Список!A14</f>
        <v>13</v>
      </c>
      <c r="B14">
        <f>Список!B14</f>
        <v>0</v>
      </c>
      <c r="AP14" t="str">
        <f>IFERROR(AVERAGE(C14:AO14),"")</f>
        <v/>
      </c>
    </row>
    <row r="15" spans="1:42" x14ac:dyDescent="0.25">
      <c r="A15">
        <f>Список!A15</f>
        <v>14</v>
      </c>
      <c r="B15">
        <f>Список!B15</f>
        <v>0</v>
      </c>
      <c r="AP15" t="str">
        <f>IFERROR(AVERAGE(C15:AO15),"")</f>
        <v/>
      </c>
    </row>
    <row r="16" spans="1:42" x14ac:dyDescent="0.25">
      <c r="A16">
        <f>Список!A16</f>
        <v>15</v>
      </c>
      <c r="B16">
        <f>Список!B16</f>
        <v>0</v>
      </c>
      <c r="AP16" t="str">
        <f>IFERROR(AVERAGE(C16:AO16),"")</f>
        <v/>
      </c>
    </row>
    <row r="17" spans="1:42" x14ac:dyDescent="0.25">
      <c r="A17">
        <f>Список!A17</f>
        <v>16</v>
      </c>
      <c r="B17">
        <f>Список!B17</f>
        <v>0</v>
      </c>
      <c r="AP17" t="str">
        <f>IFERROR(AVERAGE(C17:AO17),"")</f>
        <v/>
      </c>
    </row>
    <row r="18" spans="1:42" x14ac:dyDescent="0.25">
      <c r="A18">
        <f>Список!A18</f>
        <v>17</v>
      </c>
      <c r="B18">
        <f>Список!B18</f>
        <v>0</v>
      </c>
      <c r="AP18" t="str">
        <f>IFERROR(AVERAGE(C18:AO18),"")</f>
        <v/>
      </c>
    </row>
    <row r="19" spans="1:42" x14ac:dyDescent="0.25">
      <c r="A19">
        <f>Список!A19</f>
        <v>18</v>
      </c>
      <c r="B19">
        <f>Список!B19</f>
        <v>0</v>
      </c>
      <c r="AP19" t="str">
        <f>IFERROR(AVERAGE(C19:AO19),"")</f>
        <v/>
      </c>
    </row>
    <row r="20" spans="1:42" x14ac:dyDescent="0.25">
      <c r="A20">
        <f>Список!A20</f>
        <v>19</v>
      </c>
      <c r="B20">
        <f>Список!B20</f>
        <v>0</v>
      </c>
      <c r="AP20" t="str">
        <f>IFERROR(AVERAGE(C20:AO20),"")</f>
        <v/>
      </c>
    </row>
    <row r="21" spans="1:42" x14ac:dyDescent="0.25">
      <c r="A21">
        <f>Список!A21</f>
        <v>20</v>
      </c>
      <c r="B21">
        <f>Список!B21</f>
        <v>0</v>
      </c>
      <c r="AP21" t="str">
        <f>IFERROR(AVERAGE(C21:AO21),"")</f>
        <v/>
      </c>
    </row>
    <row r="22" spans="1:42" x14ac:dyDescent="0.25">
      <c r="A22">
        <f>Список!A22</f>
        <v>21</v>
      </c>
      <c r="B22">
        <f>Список!B22</f>
        <v>0</v>
      </c>
      <c r="AP22" t="str">
        <f>IFERROR(AVERAGE(C22:AO22),"")</f>
        <v/>
      </c>
    </row>
    <row r="23" spans="1:42" x14ac:dyDescent="0.25">
      <c r="A23">
        <f>Список!A23</f>
        <v>22</v>
      </c>
      <c r="B23">
        <f>Список!B23</f>
        <v>0</v>
      </c>
      <c r="AP23" t="str">
        <f>IFERROR(AVERAGE(C23:AO23),"")</f>
        <v/>
      </c>
    </row>
    <row r="24" spans="1:42" x14ac:dyDescent="0.25">
      <c r="A24">
        <f>Список!A24</f>
        <v>23</v>
      </c>
      <c r="B24">
        <f>Список!B24</f>
        <v>0</v>
      </c>
      <c r="AP24" t="str">
        <f>IFERROR(AVERAGE(C24:AO24),"")</f>
        <v/>
      </c>
    </row>
    <row r="25" spans="1:42" x14ac:dyDescent="0.25">
      <c r="A25">
        <f>Список!A25</f>
        <v>24</v>
      </c>
      <c r="B25">
        <f>Список!B25</f>
        <v>0</v>
      </c>
      <c r="AP25" t="str">
        <f>IFERROR(AVERAGE(C25:AO25),"")</f>
        <v/>
      </c>
    </row>
    <row r="26" spans="1:42" x14ac:dyDescent="0.25">
      <c r="A26">
        <f>Список!A26</f>
        <v>25</v>
      </c>
      <c r="B26">
        <f>Список!B26</f>
        <v>0</v>
      </c>
      <c r="AP26" t="str">
        <f>IFERROR(AVERAGE(C26:AO26),"")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FB6E-B6E8-413B-A03F-8DA30870BEBC}">
  <dimension ref="A1:N26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32.7109375" customWidth="1"/>
  </cols>
  <sheetData>
    <row r="1" spans="1:14" x14ac:dyDescent="0.25">
      <c r="A1" s="1" t="s">
        <v>19</v>
      </c>
      <c r="B1" s="1" t="s">
        <v>84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62</v>
      </c>
      <c r="K1" s="1" t="s">
        <v>63</v>
      </c>
      <c r="L1" s="1" t="s">
        <v>64</v>
      </c>
      <c r="M1" s="1" t="s">
        <v>132</v>
      </c>
      <c r="N1" s="1" t="s">
        <v>133</v>
      </c>
    </row>
    <row r="2" spans="1:14" x14ac:dyDescent="0.25">
      <c r="A2">
        <f>Список!A2</f>
        <v>1</v>
      </c>
      <c r="B2">
        <f>Список!B2</f>
        <v>0</v>
      </c>
      <c r="C2" t="str">
        <f>Тесты!AP2</f>
        <v/>
      </c>
      <c r="D2" t="str">
        <f>Практика!AP2</f>
        <v/>
      </c>
      <c r="E2" t="str">
        <f>СРС!AP2</f>
        <v/>
      </c>
      <c r="H2" t="str">
        <f>IFERROR(AVERAGE(F2:G2),"")</f>
        <v/>
      </c>
      <c r="I2">
        <f>0.2*N(C2)+0.4*N(D2)+0.15*N(E2)+0.25*N(H2)</f>
        <v>0</v>
      </c>
      <c r="J2" t="str">
        <f>IFERROR(VLOOKUP(I2,Шкала!$A$2:$F$12,2,TRUE),"")</f>
        <v>F</v>
      </c>
      <c r="K2">
        <f>IFERROR(VLOOKUP(I2,Шкала!$A$2:$F$12,3,TRUE),"")</f>
        <v>0</v>
      </c>
      <c r="L2">
        <f>IFERROR(VLOOKUP(I2,Шкала!$A$2:$F$12,4,TRUE),"")</f>
        <v>2</v>
      </c>
      <c r="M2" t="str">
        <f>IF(I2&gt;=50,"зачёт","незачёт")</f>
        <v>незачёт</v>
      </c>
      <c r="N2">
        <f>IFERROR((0.2*N(C2)+0.4*N(D2)+0.15*N(E2))/0.75,"")</f>
        <v>0</v>
      </c>
    </row>
    <row r="3" spans="1:14" x14ac:dyDescent="0.25">
      <c r="A3">
        <f>Список!A3</f>
        <v>2</v>
      </c>
      <c r="B3">
        <f>Список!B3</f>
        <v>0</v>
      </c>
      <c r="C3" t="str">
        <f>Тесты!AP3</f>
        <v/>
      </c>
      <c r="D3" t="str">
        <f>Практика!AP3</f>
        <v/>
      </c>
      <c r="E3" t="str">
        <f>СРС!AP3</f>
        <v/>
      </c>
      <c r="H3" t="str">
        <f>IFERROR(AVERAGE(F3:G3),"")</f>
        <v/>
      </c>
      <c r="I3">
        <f>0.2*N(C3)+0.4*N(D3)+0.15*N(E3)+0.25*N(H3)</f>
        <v>0</v>
      </c>
      <c r="J3" t="str">
        <f>IFERROR(VLOOKUP(I3,Шкала!$A$2:$F$12,2,TRUE),"")</f>
        <v>F</v>
      </c>
      <c r="K3">
        <f>IFERROR(VLOOKUP(I3,Шкала!$A$2:$F$12,3,TRUE),"")</f>
        <v>0</v>
      </c>
      <c r="L3">
        <f>IFERROR(VLOOKUP(I3,Шкала!$A$2:$F$12,4,TRUE),"")</f>
        <v>2</v>
      </c>
      <c r="M3" t="str">
        <f>IF(I3&gt;=50,"зачёт","незачёт")</f>
        <v>незачёт</v>
      </c>
      <c r="N3">
        <f>IFERROR((0.2*N(C3)+0.4*N(D3)+0.15*N(E3))/0.75,"")</f>
        <v>0</v>
      </c>
    </row>
    <row r="4" spans="1:14" x14ac:dyDescent="0.25">
      <c r="A4">
        <f>Список!A4</f>
        <v>3</v>
      </c>
      <c r="B4">
        <f>Список!B4</f>
        <v>0</v>
      </c>
      <c r="C4" t="str">
        <f>Тесты!AP4</f>
        <v/>
      </c>
      <c r="D4" t="str">
        <f>Практика!AP4</f>
        <v/>
      </c>
      <c r="E4" t="str">
        <f>СРС!AP4</f>
        <v/>
      </c>
      <c r="H4" t="str">
        <f>IFERROR(AVERAGE(F4:G4),"")</f>
        <v/>
      </c>
      <c r="I4">
        <f>0.2*N(C4)+0.4*N(D4)+0.15*N(E4)+0.25*N(H4)</f>
        <v>0</v>
      </c>
      <c r="J4" t="str">
        <f>IFERROR(VLOOKUP(I4,Шкала!$A$2:$F$12,2,TRUE),"")</f>
        <v>F</v>
      </c>
      <c r="K4">
        <f>IFERROR(VLOOKUP(I4,Шкала!$A$2:$F$12,3,TRUE),"")</f>
        <v>0</v>
      </c>
      <c r="L4">
        <f>IFERROR(VLOOKUP(I4,Шкала!$A$2:$F$12,4,TRUE),"")</f>
        <v>2</v>
      </c>
      <c r="M4" t="str">
        <f>IF(I4&gt;=50,"зачёт","незачёт")</f>
        <v>незачёт</v>
      </c>
      <c r="N4">
        <f>IFERROR((0.2*N(C4)+0.4*N(D4)+0.15*N(E4))/0.75,"")</f>
        <v>0</v>
      </c>
    </row>
    <row r="5" spans="1:14" x14ac:dyDescent="0.25">
      <c r="A5">
        <f>Список!A5</f>
        <v>4</v>
      </c>
      <c r="B5">
        <f>Список!B5</f>
        <v>0</v>
      </c>
      <c r="C5" t="str">
        <f>Тесты!AP5</f>
        <v/>
      </c>
      <c r="D5" t="str">
        <f>Практика!AP5</f>
        <v/>
      </c>
      <c r="E5" t="str">
        <f>СРС!AP5</f>
        <v/>
      </c>
      <c r="H5" t="str">
        <f>IFERROR(AVERAGE(F5:G5),"")</f>
        <v/>
      </c>
      <c r="I5">
        <f>0.2*N(C5)+0.4*N(D5)+0.15*N(E5)+0.25*N(H5)</f>
        <v>0</v>
      </c>
      <c r="J5" t="str">
        <f>IFERROR(VLOOKUP(I5,Шкала!$A$2:$F$12,2,TRUE),"")</f>
        <v>F</v>
      </c>
      <c r="K5">
        <f>IFERROR(VLOOKUP(I5,Шкала!$A$2:$F$12,3,TRUE),"")</f>
        <v>0</v>
      </c>
      <c r="L5">
        <f>IFERROR(VLOOKUP(I5,Шкала!$A$2:$F$12,4,TRUE),"")</f>
        <v>2</v>
      </c>
      <c r="M5" t="str">
        <f>IF(I5&gt;=50,"зачёт","незачёт")</f>
        <v>незачёт</v>
      </c>
      <c r="N5">
        <f>IFERROR((0.2*N(C5)+0.4*N(D5)+0.15*N(E5))/0.75,"")</f>
        <v>0</v>
      </c>
    </row>
    <row r="6" spans="1:14" x14ac:dyDescent="0.25">
      <c r="A6">
        <f>Список!A6</f>
        <v>5</v>
      </c>
      <c r="B6">
        <f>Список!B6</f>
        <v>0</v>
      </c>
      <c r="C6" t="str">
        <f>Тесты!AP6</f>
        <v/>
      </c>
      <c r="D6" t="str">
        <f>Практика!AP6</f>
        <v/>
      </c>
      <c r="E6" t="str">
        <f>СРС!AP6</f>
        <v/>
      </c>
      <c r="H6" t="str">
        <f>IFERROR(AVERAGE(F6:G6),"")</f>
        <v/>
      </c>
      <c r="I6">
        <f>0.2*N(C6)+0.4*N(D6)+0.15*N(E6)+0.25*N(H6)</f>
        <v>0</v>
      </c>
      <c r="J6" t="str">
        <f>IFERROR(VLOOKUP(I6,Шкала!$A$2:$F$12,2,TRUE),"")</f>
        <v>F</v>
      </c>
      <c r="K6">
        <f>IFERROR(VLOOKUP(I6,Шкала!$A$2:$F$12,3,TRUE),"")</f>
        <v>0</v>
      </c>
      <c r="L6">
        <f>IFERROR(VLOOKUP(I6,Шкала!$A$2:$F$12,4,TRUE),"")</f>
        <v>2</v>
      </c>
      <c r="M6" t="str">
        <f>IF(I6&gt;=50,"зачёт","незачёт")</f>
        <v>незачёт</v>
      </c>
      <c r="N6">
        <f>IFERROR((0.2*N(C6)+0.4*N(D6)+0.15*N(E6))/0.75,"")</f>
        <v>0</v>
      </c>
    </row>
    <row r="7" spans="1:14" x14ac:dyDescent="0.25">
      <c r="A7">
        <f>Список!A7</f>
        <v>6</v>
      </c>
      <c r="B7">
        <f>Список!B7</f>
        <v>0</v>
      </c>
      <c r="C7" t="str">
        <f>Тесты!AP7</f>
        <v/>
      </c>
      <c r="D7" t="str">
        <f>Практика!AP7</f>
        <v/>
      </c>
      <c r="E7" t="str">
        <f>СРС!AP7</f>
        <v/>
      </c>
      <c r="H7" t="str">
        <f>IFERROR(AVERAGE(F7:G7),"")</f>
        <v/>
      </c>
      <c r="I7">
        <f>0.2*N(C7)+0.4*N(D7)+0.15*N(E7)+0.25*N(H7)</f>
        <v>0</v>
      </c>
      <c r="J7" t="str">
        <f>IFERROR(VLOOKUP(I7,Шкала!$A$2:$F$12,2,TRUE),"")</f>
        <v>F</v>
      </c>
      <c r="K7">
        <f>IFERROR(VLOOKUP(I7,Шкала!$A$2:$F$12,3,TRUE),"")</f>
        <v>0</v>
      </c>
      <c r="L7">
        <f>IFERROR(VLOOKUP(I7,Шкала!$A$2:$F$12,4,TRUE),"")</f>
        <v>2</v>
      </c>
      <c r="M7" t="str">
        <f>IF(I7&gt;=50,"зачёт","незачёт")</f>
        <v>незачёт</v>
      </c>
      <c r="N7">
        <f>IFERROR((0.2*N(C7)+0.4*N(D7)+0.15*N(E7))/0.75,"")</f>
        <v>0</v>
      </c>
    </row>
    <row r="8" spans="1:14" x14ac:dyDescent="0.25">
      <c r="A8">
        <f>Список!A8</f>
        <v>7</v>
      </c>
      <c r="B8">
        <f>Список!B8</f>
        <v>0</v>
      </c>
      <c r="C8" t="str">
        <f>Тесты!AP8</f>
        <v/>
      </c>
      <c r="D8" t="str">
        <f>Практика!AP8</f>
        <v/>
      </c>
      <c r="E8" t="str">
        <f>СРС!AP8</f>
        <v/>
      </c>
      <c r="H8" t="str">
        <f>IFERROR(AVERAGE(F8:G8),"")</f>
        <v/>
      </c>
      <c r="I8">
        <f>0.2*N(C8)+0.4*N(D8)+0.15*N(E8)+0.25*N(H8)</f>
        <v>0</v>
      </c>
      <c r="J8" t="str">
        <f>IFERROR(VLOOKUP(I8,Шкала!$A$2:$F$12,2,TRUE),"")</f>
        <v>F</v>
      </c>
      <c r="K8">
        <f>IFERROR(VLOOKUP(I8,Шкала!$A$2:$F$12,3,TRUE),"")</f>
        <v>0</v>
      </c>
      <c r="L8">
        <f>IFERROR(VLOOKUP(I8,Шкала!$A$2:$F$12,4,TRUE),"")</f>
        <v>2</v>
      </c>
      <c r="M8" t="str">
        <f>IF(I8&gt;=50,"зачёт","незачёт")</f>
        <v>незачёт</v>
      </c>
      <c r="N8">
        <f>IFERROR((0.2*N(C8)+0.4*N(D8)+0.15*N(E8))/0.75,"")</f>
        <v>0</v>
      </c>
    </row>
    <row r="9" spans="1:14" x14ac:dyDescent="0.25">
      <c r="A9">
        <f>Список!A9</f>
        <v>8</v>
      </c>
      <c r="B9">
        <f>Список!B9</f>
        <v>0</v>
      </c>
      <c r="C9" t="str">
        <f>Тесты!AP9</f>
        <v/>
      </c>
      <c r="D9" t="str">
        <f>Практика!AP9</f>
        <v/>
      </c>
      <c r="E9" t="str">
        <f>СРС!AP9</f>
        <v/>
      </c>
      <c r="H9" t="str">
        <f>IFERROR(AVERAGE(F9:G9),"")</f>
        <v/>
      </c>
      <c r="I9">
        <f>0.2*N(C9)+0.4*N(D9)+0.15*N(E9)+0.25*N(H9)</f>
        <v>0</v>
      </c>
      <c r="J9" t="str">
        <f>IFERROR(VLOOKUP(I9,Шкала!$A$2:$F$12,2,TRUE),"")</f>
        <v>F</v>
      </c>
      <c r="K9">
        <f>IFERROR(VLOOKUP(I9,Шкала!$A$2:$F$12,3,TRUE),"")</f>
        <v>0</v>
      </c>
      <c r="L9">
        <f>IFERROR(VLOOKUP(I9,Шкала!$A$2:$F$12,4,TRUE),"")</f>
        <v>2</v>
      </c>
      <c r="M9" t="str">
        <f>IF(I9&gt;=50,"зачёт","незачёт")</f>
        <v>незачёт</v>
      </c>
      <c r="N9">
        <f>IFERROR((0.2*N(C9)+0.4*N(D9)+0.15*N(E9))/0.75,"")</f>
        <v>0</v>
      </c>
    </row>
    <row r="10" spans="1:14" x14ac:dyDescent="0.25">
      <c r="A10">
        <f>Список!A10</f>
        <v>9</v>
      </c>
      <c r="B10">
        <f>Список!B10</f>
        <v>0</v>
      </c>
      <c r="C10" t="str">
        <f>Тесты!AP10</f>
        <v/>
      </c>
      <c r="D10" t="str">
        <f>Практика!AP10</f>
        <v/>
      </c>
      <c r="E10" t="str">
        <f>СРС!AP10</f>
        <v/>
      </c>
      <c r="H10" t="str">
        <f>IFERROR(AVERAGE(F10:G10),"")</f>
        <v/>
      </c>
      <c r="I10">
        <f>0.2*N(C10)+0.4*N(D10)+0.15*N(E10)+0.25*N(H10)</f>
        <v>0</v>
      </c>
      <c r="J10" t="str">
        <f>IFERROR(VLOOKUP(I10,Шкала!$A$2:$F$12,2,TRUE),"")</f>
        <v>F</v>
      </c>
      <c r="K10">
        <f>IFERROR(VLOOKUP(I10,Шкала!$A$2:$F$12,3,TRUE),"")</f>
        <v>0</v>
      </c>
      <c r="L10">
        <f>IFERROR(VLOOKUP(I10,Шкала!$A$2:$F$12,4,TRUE),"")</f>
        <v>2</v>
      </c>
      <c r="M10" t="str">
        <f>IF(I10&gt;=50,"зачёт","незачёт")</f>
        <v>незачёт</v>
      </c>
      <c r="N10">
        <f>IFERROR((0.2*N(C10)+0.4*N(D10)+0.15*N(E10))/0.75,"")</f>
        <v>0</v>
      </c>
    </row>
    <row r="11" spans="1:14" x14ac:dyDescent="0.25">
      <c r="A11">
        <f>Список!A11</f>
        <v>10</v>
      </c>
      <c r="B11">
        <f>Список!B11</f>
        <v>0</v>
      </c>
      <c r="C11" t="str">
        <f>Тесты!AP11</f>
        <v/>
      </c>
      <c r="D11" t="str">
        <f>Практика!AP11</f>
        <v/>
      </c>
      <c r="E11" t="str">
        <f>СРС!AP11</f>
        <v/>
      </c>
      <c r="H11" t="str">
        <f>IFERROR(AVERAGE(F11:G11),"")</f>
        <v/>
      </c>
      <c r="I11">
        <f>0.2*N(C11)+0.4*N(D11)+0.15*N(E11)+0.25*N(H11)</f>
        <v>0</v>
      </c>
      <c r="J11" t="str">
        <f>IFERROR(VLOOKUP(I11,Шкала!$A$2:$F$12,2,TRUE),"")</f>
        <v>F</v>
      </c>
      <c r="K11">
        <f>IFERROR(VLOOKUP(I11,Шкала!$A$2:$F$12,3,TRUE),"")</f>
        <v>0</v>
      </c>
      <c r="L11">
        <f>IFERROR(VLOOKUP(I11,Шкала!$A$2:$F$12,4,TRUE),"")</f>
        <v>2</v>
      </c>
      <c r="M11" t="str">
        <f>IF(I11&gt;=50,"зачёт","незачёт")</f>
        <v>незачёт</v>
      </c>
      <c r="N11">
        <f>IFERROR((0.2*N(C11)+0.4*N(D11)+0.15*N(E11))/0.75,"")</f>
        <v>0</v>
      </c>
    </row>
    <row r="12" spans="1:14" x14ac:dyDescent="0.25">
      <c r="A12">
        <f>Список!A12</f>
        <v>11</v>
      </c>
      <c r="B12">
        <f>Список!B12</f>
        <v>0</v>
      </c>
      <c r="C12" t="str">
        <f>Тесты!AP12</f>
        <v/>
      </c>
      <c r="D12" t="str">
        <f>Практика!AP12</f>
        <v/>
      </c>
      <c r="E12" t="str">
        <f>СРС!AP12</f>
        <v/>
      </c>
      <c r="H12" t="str">
        <f>IFERROR(AVERAGE(F12:G12),"")</f>
        <v/>
      </c>
      <c r="I12">
        <f>0.2*N(C12)+0.4*N(D12)+0.15*N(E12)+0.25*N(H12)</f>
        <v>0</v>
      </c>
      <c r="J12" t="str">
        <f>IFERROR(VLOOKUP(I12,Шкала!$A$2:$F$12,2,TRUE),"")</f>
        <v>F</v>
      </c>
      <c r="K12">
        <f>IFERROR(VLOOKUP(I12,Шкала!$A$2:$F$12,3,TRUE),"")</f>
        <v>0</v>
      </c>
      <c r="L12">
        <f>IFERROR(VLOOKUP(I12,Шкала!$A$2:$F$12,4,TRUE),"")</f>
        <v>2</v>
      </c>
      <c r="M12" t="str">
        <f>IF(I12&gt;=50,"зачёт","незачёт")</f>
        <v>незачёт</v>
      </c>
      <c r="N12">
        <f>IFERROR((0.2*N(C12)+0.4*N(D12)+0.15*N(E12))/0.75,"")</f>
        <v>0</v>
      </c>
    </row>
    <row r="13" spans="1:14" x14ac:dyDescent="0.25">
      <c r="A13">
        <f>Список!A13</f>
        <v>12</v>
      </c>
      <c r="B13">
        <f>Список!B13</f>
        <v>0</v>
      </c>
      <c r="C13" t="str">
        <f>Тесты!AP13</f>
        <v/>
      </c>
      <c r="D13" t="str">
        <f>Практика!AP13</f>
        <v/>
      </c>
      <c r="E13" t="str">
        <f>СРС!AP13</f>
        <v/>
      </c>
      <c r="H13" t="str">
        <f>IFERROR(AVERAGE(F13:G13),"")</f>
        <v/>
      </c>
      <c r="I13">
        <f>0.2*N(C13)+0.4*N(D13)+0.15*N(E13)+0.25*N(H13)</f>
        <v>0</v>
      </c>
      <c r="J13" t="str">
        <f>IFERROR(VLOOKUP(I13,Шкала!$A$2:$F$12,2,TRUE),"")</f>
        <v>F</v>
      </c>
      <c r="K13">
        <f>IFERROR(VLOOKUP(I13,Шкала!$A$2:$F$12,3,TRUE),"")</f>
        <v>0</v>
      </c>
      <c r="L13">
        <f>IFERROR(VLOOKUP(I13,Шкала!$A$2:$F$12,4,TRUE),"")</f>
        <v>2</v>
      </c>
      <c r="M13" t="str">
        <f>IF(I13&gt;=50,"зачёт","незачёт")</f>
        <v>незачёт</v>
      </c>
      <c r="N13">
        <f>IFERROR((0.2*N(C13)+0.4*N(D13)+0.15*N(E13))/0.75,"")</f>
        <v>0</v>
      </c>
    </row>
    <row r="14" spans="1:14" x14ac:dyDescent="0.25">
      <c r="A14">
        <f>Список!A14</f>
        <v>13</v>
      </c>
      <c r="B14">
        <f>Список!B14</f>
        <v>0</v>
      </c>
      <c r="C14" t="str">
        <f>Тесты!AP14</f>
        <v/>
      </c>
      <c r="D14" t="str">
        <f>Практика!AP14</f>
        <v/>
      </c>
      <c r="E14" t="str">
        <f>СРС!AP14</f>
        <v/>
      </c>
      <c r="H14" t="str">
        <f>IFERROR(AVERAGE(F14:G14),"")</f>
        <v/>
      </c>
      <c r="I14">
        <f>0.2*N(C14)+0.4*N(D14)+0.15*N(E14)+0.25*N(H14)</f>
        <v>0</v>
      </c>
      <c r="J14" t="str">
        <f>IFERROR(VLOOKUP(I14,Шкала!$A$2:$F$12,2,TRUE),"")</f>
        <v>F</v>
      </c>
      <c r="K14">
        <f>IFERROR(VLOOKUP(I14,Шкала!$A$2:$F$12,3,TRUE),"")</f>
        <v>0</v>
      </c>
      <c r="L14">
        <f>IFERROR(VLOOKUP(I14,Шкала!$A$2:$F$12,4,TRUE),"")</f>
        <v>2</v>
      </c>
      <c r="M14" t="str">
        <f>IF(I14&gt;=50,"зачёт","незачёт")</f>
        <v>незачёт</v>
      </c>
      <c r="N14">
        <f>IFERROR((0.2*N(C14)+0.4*N(D14)+0.15*N(E14))/0.75,"")</f>
        <v>0</v>
      </c>
    </row>
    <row r="15" spans="1:14" x14ac:dyDescent="0.25">
      <c r="A15">
        <f>Список!A15</f>
        <v>14</v>
      </c>
      <c r="B15">
        <f>Список!B15</f>
        <v>0</v>
      </c>
      <c r="C15" t="str">
        <f>Тесты!AP15</f>
        <v/>
      </c>
      <c r="D15" t="str">
        <f>Практика!AP15</f>
        <v/>
      </c>
      <c r="E15" t="str">
        <f>СРС!AP15</f>
        <v/>
      </c>
      <c r="H15" t="str">
        <f>IFERROR(AVERAGE(F15:G15),"")</f>
        <v/>
      </c>
      <c r="I15">
        <f>0.2*N(C15)+0.4*N(D15)+0.15*N(E15)+0.25*N(H15)</f>
        <v>0</v>
      </c>
      <c r="J15" t="str">
        <f>IFERROR(VLOOKUP(I15,Шкала!$A$2:$F$12,2,TRUE),"")</f>
        <v>F</v>
      </c>
      <c r="K15">
        <f>IFERROR(VLOOKUP(I15,Шкала!$A$2:$F$12,3,TRUE),"")</f>
        <v>0</v>
      </c>
      <c r="L15">
        <f>IFERROR(VLOOKUP(I15,Шкала!$A$2:$F$12,4,TRUE),"")</f>
        <v>2</v>
      </c>
      <c r="M15" t="str">
        <f>IF(I15&gt;=50,"зачёт","незачёт")</f>
        <v>незачёт</v>
      </c>
      <c r="N15">
        <f>IFERROR((0.2*N(C15)+0.4*N(D15)+0.15*N(E15))/0.75,"")</f>
        <v>0</v>
      </c>
    </row>
    <row r="16" spans="1:14" x14ac:dyDescent="0.25">
      <c r="A16">
        <f>Список!A16</f>
        <v>15</v>
      </c>
      <c r="B16">
        <f>Список!B16</f>
        <v>0</v>
      </c>
      <c r="C16" t="str">
        <f>Тесты!AP16</f>
        <v/>
      </c>
      <c r="D16" t="str">
        <f>Практика!AP16</f>
        <v/>
      </c>
      <c r="E16" t="str">
        <f>СРС!AP16</f>
        <v/>
      </c>
      <c r="H16" t="str">
        <f>IFERROR(AVERAGE(F16:G16),"")</f>
        <v/>
      </c>
      <c r="I16">
        <f>0.2*N(C16)+0.4*N(D16)+0.15*N(E16)+0.25*N(H16)</f>
        <v>0</v>
      </c>
      <c r="J16" t="str">
        <f>IFERROR(VLOOKUP(I16,Шкала!$A$2:$F$12,2,TRUE),"")</f>
        <v>F</v>
      </c>
      <c r="K16">
        <f>IFERROR(VLOOKUP(I16,Шкала!$A$2:$F$12,3,TRUE),"")</f>
        <v>0</v>
      </c>
      <c r="L16">
        <f>IFERROR(VLOOKUP(I16,Шкала!$A$2:$F$12,4,TRUE),"")</f>
        <v>2</v>
      </c>
      <c r="M16" t="str">
        <f>IF(I16&gt;=50,"зачёт","незачёт")</f>
        <v>незачёт</v>
      </c>
      <c r="N16">
        <f>IFERROR((0.2*N(C16)+0.4*N(D16)+0.15*N(E16))/0.75,"")</f>
        <v>0</v>
      </c>
    </row>
    <row r="17" spans="1:14" x14ac:dyDescent="0.25">
      <c r="A17">
        <f>Список!A17</f>
        <v>16</v>
      </c>
      <c r="B17">
        <f>Список!B17</f>
        <v>0</v>
      </c>
      <c r="C17" t="str">
        <f>Тесты!AP17</f>
        <v/>
      </c>
      <c r="D17" t="str">
        <f>Практика!AP17</f>
        <v/>
      </c>
      <c r="E17" t="str">
        <f>СРС!AP17</f>
        <v/>
      </c>
      <c r="H17" t="str">
        <f>IFERROR(AVERAGE(F17:G17),"")</f>
        <v/>
      </c>
      <c r="I17">
        <f>0.2*N(C17)+0.4*N(D17)+0.15*N(E17)+0.25*N(H17)</f>
        <v>0</v>
      </c>
      <c r="J17" t="str">
        <f>IFERROR(VLOOKUP(I17,Шкала!$A$2:$F$12,2,TRUE),"")</f>
        <v>F</v>
      </c>
      <c r="K17">
        <f>IFERROR(VLOOKUP(I17,Шкала!$A$2:$F$12,3,TRUE),"")</f>
        <v>0</v>
      </c>
      <c r="L17">
        <f>IFERROR(VLOOKUP(I17,Шкала!$A$2:$F$12,4,TRUE),"")</f>
        <v>2</v>
      </c>
      <c r="M17" t="str">
        <f>IF(I17&gt;=50,"зачёт","незачёт")</f>
        <v>незачёт</v>
      </c>
      <c r="N17">
        <f>IFERROR((0.2*N(C17)+0.4*N(D17)+0.15*N(E17))/0.75,"")</f>
        <v>0</v>
      </c>
    </row>
    <row r="18" spans="1:14" x14ac:dyDescent="0.25">
      <c r="A18">
        <f>Список!A18</f>
        <v>17</v>
      </c>
      <c r="B18">
        <f>Список!B18</f>
        <v>0</v>
      </c>
      <c r="C18" t="str">
        <f>Тесты!AP18</f>
        <v/>
      </c>
      <c r="D18" t="str">
        <f>Практика!AP18</f>
        <v/>
      </c>
      <c r="E18" t="str">
        <f>СРС!AP18</f>
        <v/>
      </c>
      <c r="H18" t="str">
        <f>IFERROR(AVERAGE(F18:G18),"")</f>
        <v/>
      </c>
      <c r="I18">
        <f>0.2*N(C18)+0.4*N(D18)+0.15*N(E18)+0.25*N(H18)</f>
        <v>0</v>
      </c>
      <c r="J18" t="str">
        <f>IFERROR(VLOOKUP(I18,Шкала!$A$2:$F$12,2,TRUE),"")</f>
        <v>F</v>
      </c>
      <c r="K18">
        <f>IFERROR(VLOOKUP(I18,Шкала!$A$2:$F$12,3,TRUE),"")</f>
        <v>0</v>
      </c>
      <c r="L18">
        <f>IFERROR(VLOOKUP(I18,Шкала!$A$2:$F$12,4,TRUE),"")</f>
        <v>2</v>
      </c>
      <c r="M18" t="str">
        <f>IF(I18&gt;=50,"зачёт","незачёт")</f>
        <v>незачёт</v>
      </c>
      <c r="N18">
        <f>IFERROR((0.2*N(C18)+0.4*N(D18)+0.15*N(E18))/0.75,"")</f>
        <v>0</v>
      </c>
    </row>
    <row r="19" spans="1:14" x14ac:dyDescent="0.25">
      <c r="A19">
        <f>Список!A19</f>
        <v>18</v>
      </c>
      <c r="B19">
        <f>Список!B19</f>
        <v>0</v>
      </c>
      <c r="C19" t="str">
        <f>Тесты!AP19</f>
        <v/>
      </c>
      <c r="D19" t="str">
        <f>Практика!AP19</f>
        <v/>
      </c>
      <c r="E19" t="str">
        <f>СРС!AP19</f>
        <v/>
      </c>
      <c r="H19" t="str">
        <f>IFERROR(AVERAGE(F19:G19),"")</f>
        <v/>
      </c>
      <c r="I19">
        <f>0.2*N(C19)+0.4*N(D19)+0.15*N(E19)+0.25*N(H19)</f>
        <v>0</v>
      </c>
      <c r="J19" t="str">
        <f>IFERROR(VLOOKUP(I19,Шкала!$A$2:$F$12,2,TRUE),"")</f>
        <v>F</v>
      </c>
      <c r="K19">
        <f>IFERROR(VLOOKUP(I19,Шкала!$A$2:$F$12,3,TRUE),"")</f>
        <v>0</v>
      </c>
      <c r="L19">
        <f>IFERROR(VLOOKUP(I19,Шкала!$A$2:$F$12,4,TRUE),"")</f>
        <v>2</v>
      </c>
      <c r="M19" t="str">
        <f>IF(I19&gt;=50,"зачёт","незачёт")</f>
        <v>незачёт</v>
      </c>
      <c r="N19">
        <f>IFERROR((0.2*N(C19)+0.4*N(D19)+0.15*N(E19))/0.75,"")</f>
        <v>0</v>
      </c>
    </row>
    <row r="20" spans="1:14" x14ac:dyDescent="0.25">
      <c r="A20">
        <f>Список!A20</f>
        <v>19</v>
      </c>
      <c r="B20">
        <f>Список!B20</f>
        <v>0</v>
      </c>
      <c r="C20" t="str">
        <f>Тесты!AP20</f>
        <v/>
      </c>
      <c r="D20" t="str">
        <f>Практика!AP20</f>
        <v/>
      </c>
      <c r="E20" t="str">
        <f>СРС!AP20</f>
        <v/>
      </c>
      <c r="H20" t="str">
        <f>IFERROR(AVERAGE(F20:G20),"")</f>
        <v/>
      </c>
      <c r="I20">
        <f>0.2*N(C20)+0.4*N(D20)+0.15*N(E20)+0.25*N(H20)</f>
        <v>0</v>
      </c>
      <c r="J20" t="str">
        <f>IFERROR(VLOOKUP(I20,Шкала!$A$2:$F$12,2,TRUE),"")</f>
        <v>F</v>
      </c>
      <c r="K20">
        <f>IFERROR(VLOOKUP(I20,Шкала!$A$2:$F$12,3,TRUE),"")</f>
        <v>0</v>
      </c>
      <c r="L20">
        <f>IFERROR(VLOOKUP(I20,Шкала!$A$2:$F$12,4,TRUE),"")</f>
        <v>2</v>
      </c>
      <c r="M20" t="str">
        <f>IF(I20&gt;=50,"зачёт","незачёт")</f>
        <v>незачёт</v>
      </c>
      <c r="N20">
        <f>IFERROR((0.2*N(C20)+0.4*N(D20)+0.15*N(E20))/0.75,"")</f>
        <v>0</v>
      </c>
    </row>
    <row r="21" spans="1:14" x14ac:dyDescent="0.25">
      <c r="A21">
        <f>Список!A21</f>
        <v>20</v>
      </c>
      <c r="B21">
        <f>Список!B21</f>
        <v>0</v>
      </c>
      <c r="C21" t="str">
        <f>Тесты!AP21</f>
        <v/>
      </c>
      <c r="D21" t="str">
        <f>Практика!AP21</f>
        <v/>
      </c>
      <c r="E21" t="str">
        <f>СРС!AP21</f>
        <v/>
      </c>
      <c r="H21" t="str">
        <f>IFERROR(AVERAGE(F21:G21),"")</f>
        <v/>
      </c>
      <c r="I21">
        <f>0.2*N(C21)+0.4*N(D21)+0.15*N(E21)+0.25*N(H21)</f>
        <v>0</v>
      </c>
      <c r="J21" t="str">
        <f>IFERROR(VLOOKUP(I21,Шкала!$A$2:$F$12,2,TRUE),"")</f>
        <v>F</v>
      </c>
      <c r="K21">
        <f>IFERROR(VLOOKUP(I21,Шкала!$A$2:$F$12,3,TRUE),"")</f>
        <v>0</v>
      </c>
      <c r="L21">
        <f>IFERROR(VLOOKUP(I21,Шкала!$A$2:$F$12,4,TRUE),"")</f>
        <v>2</v>
      </c>
      <c r="M21" t="str">
        <f>IF(I21&gt;=50,"зачёт","незачёт")</f>
        <v>незачёт</v>
      </c>
      <c r="N21">
        <f>IFERROR((0.2*N(C21)+0.4*N(D21)+0.15*N(E21))/0.75,"")</f>
        <v>0</v>
      </c>
    </row>
    <row r="22" spans="1:14" x14ac:dyDescent="0.25">
      <c r="A22">
        <f>Список!A22</f>
        <v>21</v>
      </c>
      <c r="B22">
        <f>Список!B22</f>
        <v>0</v>
      </c>
      <c r="C22" t="str">
        <f>Тесты!AP22</f>
        <v/>
      </c>
      <c r="D22" t="str">
        <f>Практика!AP22</f>
        <v/>
      </c>
      <c r="E22" t="str">
        <f>СРС!AP22</f>
        <v/>
      </c>
      <c r="H22" t="str">
        <f>IFERROR(AVERAGE(F22:G22),"")</f>
        <v/>
      </c>
      <c r="I22">
        <f>0.2*N(C22)+0.4*N(D22)+0.15*N(E22)+0.25*N(H22)</f>
        <v>0</v>
      </c>
      <c r="J22" t="str">
        <f>IFERROR(VLOOKUP(I22,Шкала!$A$2:$F$12,2,TRUE),"")</f>
        <v>F</v>
      </c>
      <c r="K22">
        <f>IFERROR(VLOOKUP(I22,Шкала!$A$2:$F$12,3,TRUE),"")</f>
        <v>0</v>
      </c>
      <c r="L22">
        <f>IFERROR(VLOOKUP(I22,Шкала!$A$2:$F$12,4,TRUE),"")</f>
        <v>2</v>
      </c>
      <c r="M22" t="str">
        <f>IF(I22&gt;=50,"зачёт","незачёт")</f>
        <v>незачёт</v>
      </c>
      <c r="N22">
        <f>IFERROR((0.2*N(C22)+0.4*N(D22)+0.15*N(E22))/0.75,"")</f>
        <v>0</v>
      </c>
    </row>
    <row r="23" spans="1:14" x14ac:dyDescent="0.25">
      <c r="A23">
        <f>Список!A23</f>
        <v>22</v>
      </c>
      <c r="B23">
        <f>Список!B23</f>
        <v>0</v>
      </c>
      <c r="C23" t="str">
        <f>Тесты!AP23</f>
        <v/>
      </c>
      <c r="D23" t="str">
        <f>Практика!AP23</f>
        <v/>
      </c>
      <c r="E23" t="str">
        <f>СРС!AP23</f>
        <v/>
      </c>
      <c r="H23" t="str">
        <f>IFERROR(AVERAGE(F23:G23),"")</f>
        <v/>
      </c>
      <c r="I23">
        <f>0.2*N(C23)+0.4*N(D23)+0.15*N(E23)+0.25*N(H23)</f>
        <v>0</v>
      </c>
      <c r="J23" t="str">
        <f>IFERROR(VLOOKUP(I23,Шкала!$A$2:$F$12,2,TRUE),"")</f>
        <v>F</v>
      </c>
      <c r="K23">
        <f>IFERROR(VLOOKUP(I23,Шкала!$A$2:$F$12,3,TRUE),"")</f>
        <v>0</v>
      </c>
      <c r="L23">
        <f>IFERROR(VLOOKUP(I23,Шкала!$A$2:$F$12,4,TRUE),"")</f>
        <v>2</v>
      </c>
      <c r="M23" t="str">
        <f>IF(I23&gt;=50,"зачёт","незачёт")</f>
        <v>незачёт</v>
      </c>
      <c r="N23">
        <f>IFERROR((0.2*N(C23)+0.4*N(D23)+0.15*N(E23))/0.75,"")</f>
        <v>0</v>
      </c>
    </row>
    <row r="24" spans="1:14" x14ac:dyDescent="0.25">
      <c r="A24">
        <f>Список!A24</f>
        <v>23</v>
      </c>
      <c r="B24">
        <f>Список!B24</f>
        <v>0</v>
      </c>
      <c r="C24" t="str">
        <f>Тесты!AP24</f>
        <v/>
      </c>
      <c r="D24" t="str">
        <f>Практика!AP24</f>
        <v/>
      </c>
      <c r="E24" t="str">
        <f>СРС!AP24</f>
        <v/>
      </c>
      <c r="H24" t="str">
        <f>IFERROR(AVERAGE(F24:G24),"")</f>
        <v/>
      </c>
      <c r="I24">
        <f>0.2*N(C24)+0.4*N(D24)+0.15*N(E24)+0.25*N(H24)</f>
        <v>0</v>
      </c>
      <c r="J24" t="str">
        <f>IFERROR(VLOOKUP(I24,Шкала!$A$2:$F$12,2,TRUE),"")</f>
        <v>F</v>
      </c>
      <c r="K24">
        <f>IFERROR(VLOOKUP(I24,Шкала!$A$2:$F$12,3,TRUE),"")</f>
        <v>0</v>
      </c>
      <c r="L24">
        <f>IFERROR(VLOOKUP(I24,Шкала!$A$2:$F$12,4,TRUE),"")</f>
        <v>2</v>
      </c>
      <c r="M24" t="str">
        <f>IF(I24&gt;=50,"зачёт","незачёт")</f>
        <v>незачёт</v>
      </c>
      <c r="N24">
        <f>IFERROR((0.2*N(C24)+0.4*N(D24)+0.15*N(E24))/0.75,"")</f>
        <v>0</v>
      </c>
    </row>
    <row r="25" spans="1:14" x14ac:dyDescent="0.25">
      <c r="A25">
        <f>Список!A25</f>
        <v>24</v>
      </c>
      <c r="B25">
        <f>Список!B25</f>
        <v>0</v>
      </c>
      <c r="C25" t="str">
        <f>Тесты!AP25</f>
        <v/>
      </c>
      <c r="D25" t="str">
        <f>Практика!AP25</f>
        <v/>
      </c>
      <c r="E25" t="str">
        <f>СРС!AP25</f>
        <v/>
      </c>
      <c r="H25" t="str">
        <f>IFERROR(AVERAGE(F25:G25),"")</f>
        <v/>
      </c>
      <c r="I25">
        <f>0.2*N(C25)+0.4*N(D25)+0.15*N(E25)+0.25*N(H25)</f>
        <v>0</v>
      </c>
      <c r="J25" t="str">
        <f>IFERROR(VLOOKUP(I25,Шкала!$A$2:$F$12,2,TRUE),"")</f>
        <v>F</v>
      </c>
      <c r="K25">
        <f>IFERROR(VLOOKUP(I25,Шкала!$A$2:$F$12,3,TRUE),"")</f>
        <v>0</v>
      </c>
      <c r="L25">
        <f>IFERROR(VLOOKUP(I25,Шкала!$A$2:$F$12,4,TRUE),"")</f>
        <v>2</v>
      </c>
      <c r="M25" t="str">
        <f>IF(I25&gt;=50,"зачёт","незачёт")</f>
        <v>незачёт</v>
      </c>
      <c r="N25">
        <f>IFERROR((0.2*N(C25)+0.4*N(D25)+0.15*N(E25))/0.75,"")</f>
        <v>0</v>
      </c>
    </row>
    <row r="26" spans="1:14" x14ac:dyDescent="0.25">
      <c r="A26">
        <f>Список!A26</f>
        <v>25</v>
      </c>
      <c r="B26">
        <f>Список!B26</f>
        <v>0</v>
      </c>
      <c r="C26" t="str">
        <f>Тесты!AP26</f>
        <v/>
      </c>
      <c r="D26" t="str">
        <f>Практика!AP26</f>
        <v/>
      </c>
      <c r="E26" t="str">
        <f>СРС!AP26</f>
        <v/>
      </c>
      <c r="H26" t="str">
        <f>IFERROR(AVERAGE(F26:G26),"")</f>
        <v/>
      </c>
      <c r="I26">
        <f>0.2*N(C26)+0.4*N(D26)+0.15*N(E26)+0.25*N(H26)</f>
        <v>0</v>
      </c>
      <c r="J26" t="str">
        <f>IFERROR(VLOOKUP(I26,Шкала!$A$2:$F$12,2,TRUE),"")</f>
        <v>F</v>
      </c>
      <c r="K26">
        <f>IFERROR(VLOOKUP(I26,Шкала!$A$2:$F$12,3,TRUE),"")</f>
        <v>0</v>
      </c>
      <c r="L26">
        <f>IFERROR(VLOOKUP(I26,Шкала!$A$2:$F$12,4,TRUE),"")</f>
        <v>2</v>
      </c>
      <c r="M26" t="str">
        <f>IF(I26&gt;=50,"зачёт","незачёт")</f>
        <v>незачёт</v>
      </c>
      <c r="N26">
        <f>IFERROR((0.2*N(C26)+0.4*N(D26)+0.15*N(E26))/0.75,"")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Инструкция</vt:lpstr>
      <vt:lpstr>Занятия</vt:lpstr>
      <vt:lpstr>Шкала</vt:lpstr>
      <vt:lpstr>Список</vt:lpstr>
      <vt:lpstr>Тесты</vt:lpstr>
      <vt:lpstr>Практика</vt:lpstr>
      <vt:lpstr>СРС</vt:lpstr>
      <vt:lpstr>Итоги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2026-07-27T17:44:05Z</dcterms:created>
  <dcterms:modified xsi:type="dcterms:W3CDTF">2026-07-27T17:44:09Z</dcterms:modified>
</cp:coreProperties>
</file>