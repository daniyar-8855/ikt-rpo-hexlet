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iy\Documents\Работа с Claud.Ai\ВСе для ИКТ\Специальности\ТИС_Техник_инф_систем\"/>
    </mc:Choice>
  </mc:AlternateContent>
  <xr:revisionPtr revIDLastSave="0" documentId="8_{DE7A9B94-3621-456B-A274-054FC338B335}" xr6:coauthVersionLast="36" xr6:coauthVersionMax="36" xr10:uidLastSave="{00000000-0000-0000-0000-000000000000}"/>
  <bookViews>
    <workbookView xWindow="0" yWindow="0" windowWidth="28800" windowHeight="14145" xr2:uid="{BDC4CF73-AC37-42D3-8C0D-B89B9434480F}"/>
  </bookViews>
  <sheets>
    <sheet name="Инструкция" sheetId="1" r:id="rId1"/>
    <sheet name="Занятия" sheetId="2" r:id="rId2"/>
    <sheet name="Шкала" sheetId="3" r:id="rId3"/>
    <sheet name="Список" sheetId="4" r:id="rId4"/>
    <sheet name="Тесты" sheetId="5" r:id="rId5"/>
    <sheet name="Практика" sheetId="6" r:id="rId6"/>
    <sheet name="СРС" sheetId="7" r:id="rId7"/>
    <sheet name="Конспекты" sheetId="8" r:id="rId8"/>
    <sheet name="Итоги" sheetId="9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28" i="9" l="1"/>
  <c r="N28" i="9"/>
  <c r="M28" i="9"/>
  <c r="L28" i="9"/>
  <c r="K28" i="9"/>
  <c r="J28" i="9"/>
  <c r="I28" i="9"/>
  <c r="F28" i="9"/>
  <c r="E28" i="9"/>
  <c r="D28" i="9"/>
  <c r="C28" i="9"/>
  <c r="B28" i="9"/>
  <c r="A28" i="9"/>
  <c r="O27" i="9"/>
  <c r="N27" i="9"/>
  <c r="M27" i="9"/>
  <c r="L27" i="9"/>
  <c r="K27" i="9"/>
  <c r="J27" i="9"/>
  <c r="I27" i="9"/>
  <c r="F27" i="9"/>
  <c r="E27" i="9"/>
  <c r="D27" i="9"/>
  <c r="C27" i="9"/>
  <c r="B27" i="9"/>
  <c r="A27" i="9"/>
  <c r="O26" i="9"/>
  <c r="N26" i="9"/>
  <c r="M26" i="9"/>
  <c r="L26" i="9"/>
  <c r="K26" i="9"/>
  <c r="J26" i="9"/>
  <c r="I26" i="9"/>
  <c r="F26" i="9"/>
  <c r="E26" i="9"/>
  <c r="D26" i="9"/>
  <c r="C26" i="9"/>
  <c r="B26" i="9"/>
  <c r="A26" i="9"/>
  <c r="O25" i="9"/>
  <c r="N25" i="9"/>
  <c r="M25" i="9"/>
  <c r="L25" i="9"/>
  <c r="K25" i="9"/>
  <c r="J25" i="9"/>
  <c r="I25" i="9"/>
  <c r="F25" i="9"/>
  <c r="E25" i="9"/>
  <c r="D25" i="9"/>
  <c r="C25" i="9"/>
  <c r="B25" i="9"/>
  <c r="A25" i="9"/>
  <c r="O24" i="9"/>
  <c r="N24" i="9"/>
  <c r="M24" i="9"/>
  <c r="L24" i="9"/>
  <c r="K24" i="9"/>
  <c r="J24" i="9"/>
  <c r="I24" i="9"/>
  <c r="F24" i="9"/>
  <c r="E24" i="9"/>
  <c r="D24" i="9"/>
  <c r="C24" i="9"/>
  <c r="B24" i="9"/>
  <c r="A24" i="9"/>
  <c r="O23" i="9"/>
  <c r="N23" i="9"/>
  <c r="M23" i="9"/>
  <c r="L23" i="9"/>
  <c r="K23" i="9"/>
  <c r="J23" i="9"/>
  <c r="I23" i="9"/>
  <c r="F23" i="9"/>
  <c r="E23" i="9"/>
  <c r="D23" i="9"/>
  <c r="C23" i="9"/>
  <c r="B23" i="9"/>
  <c r="A23" i="9"/>
  <c r="O22" i="9"/>
  <c r="N22" i="9"/>
  <c r="M22" i="9"/>
  <c r="L22" i="9"/>
  <c r="K22" i="9"/>
  <c r="J22" i="9"/>
  <c r="I22" i="9"/>
  <c r="F22" i="9"/>
  <c r="E22" i="9"/>
  <c r="D22" i="9"/>
  <c r="C22" i="9"/>
  <c r="B22" i="9"/>
  <c r="A22" i="9"/>
  <c r="O21" i="9"/>
  <c r="N21" i="9"/>
  <c r="M21" i="9"/>
  <c r="L21" i="9"/>
  <c r="K21" i="9"/>
  <c r="J21" i="9"/>
  <c r="I21" i="9"/>
  <c r="F21" i="9"/>
  <c r="E21" i="9"/>
  <c r="D21" i="9"/>
  <c r="C21" i="9"/>
  <c r="B21" i="9"/>
  <c r="A21" i="9"/>
  <c r="O20" i="9"/>
  <c r="N20" i="9"/>
  <c r="M20" i="9"/>
  <c r="L20" i="9"/>
  <c r="K20" i="9"/>
  <c r="J20" i="9"/>
  <c r="I20" i="9"/>
  <c r="F20" i="9"/>
  <c r="E20" i="9"/>
  <c r="D20" i="9"/>
  <c r="C20" i="9"/>
  <c r="B20" i="9"/>
  <c r="A20" i="9"/>
  <c r="O19" i="9"/>
  <c r="N19" i="9"/>
  <c r="M19" i="9"/>
  <c r="L19" i="9"/>
  <c r="K19" i="9"/>
  <c r="J19" i="9"/>
  <c r="I19" i="9"/>
  <c r="F19" i="9"/>
  <c r="E19" i="9"/>
  <c r="D19" i="9"/>
  <c r="C19" i="9"/>
  <c r="B19" i="9"/>
  <c r="A19" i="9"/>
  <c r="O18" i="9"/>
  <c r="N18" i="9"/>
  <c r="M18" i="9"/>
  <c r="L18" i="9"/>
  <c r="K18" i="9"/>
  <c r="J18" i="9"/>
  <c r="I18" i="9"/>
  <c r="F18" i="9"/>
  <c r="E18" i="9"/>
  <c r="D18" i="9"/>
  <c r="C18" i="9"/>
  <c r="B18" i="9"/>
  <c r="A18" i="9"/>
  <c r="O17" i="9"/>
  <c r="N17" i="9"/>
  <c r="M17" i="9"/>
  <c r="L17" i="9"/>
  <c r="K17" i="9"/>
  <c r="J17" i="9"/>
  <c r="I17" i="9"/>
  <c r="F17" i="9"/>
  <c r="E17" i="9"/>
  <c r="D17" i="9"/>
  <c r="C17" i="9"/>
  <c r="B17" i="9"/>
  <c r="A17" i="9"/>
  <c r="O16" i="9"/>
  <c r="N16" i="9"/>
  <c r="M16" i="9"/>
  <c r="L16" i="9"/>
  <c r="K16" i="9"/>
  <c r="J16" i="9"/>
  <c r="I16" i="9"/>
  <c r="F16" i="9"/>
  <c r="E16" i="9"/>
  <c r="D16" i="9"/>
  <c r="C16" i="9"/>
  <c r="B16" i="9"/>
  <c r="A16" i="9"/>
  <c r="O15" i="9"/>
  <c r="N15" i="9"/>
  <c r="M15" i="9"/>
  <c r="L15" i="9"/>
  <c r="K15" i="9"/>
  <c r="J15" i="9"/>
  <c r="I15" i="9"/>
  <c r="F15" i="9"/>
  <c r="E15" i="9"/>
  <c r="D15" i="9"/>
  <c r="C15" i="9"/>
  <c r="B15" i="9"/>
  <c r="A15" i="9"/>
  <c r="O14" i="9"/>
  <c r="N14" i="9"/>
  <c r="M14" i="9"/>
  <c r="L14" i="9"/>
  <c r="K14" i="9"/>
  <c r="J14" i="9"/>
  <c r="I14" i="9"/>
  <c r="F14" i="9"/>
  <c r="E14" i="9"/>
  <c r="D14" i="9"/>
  <c r="C14" i="9"/>
  <c r="B14" i="9"/>
  <c r="A14" i="9"/>
  <c r="O13" i="9"/>
  <c r="N13" i="9"/>
  <c r="M13" i="9"/>
  <c r="L13" i="9"/>
  <c r="K13" i="9"/>
  <c r="J13" i="9"/>
  <c r="I13" i="9"/>
  <c r="F13" i="9"/>
  <c r="E13" i="9"/>
  <c r="D13" i="9"/>
  <c r="C13" i="9"/>
  <c r="B13" i="9"/>
  <c r="A13" i="9"/>
  <c r="O12" i="9"/>
  <c r="N12" i="9"/>
  <c r="M12" i="9"/>
  <c r="L12" i="9"/>
  <c r="K12" i="9"/>
  <c r="J12" i="9"/>
  <c r="I12" i="9"/>
  <c r="F12" i="9"/>
  <c r="E12" i="9"/>
  <c r="D12" i="9"/>
  <c r="C12" i="9"/>
  <c r="B12" i="9"/>
  <c r="A12" i="9"/>
  <c r="O11" i="9"/>
  <c r="N11" i="9"/>
  <c r="M11" i="9"/>
  <c r="L11" i="9"/>
  <c r="K11" i="9"/>
  <c r="J11" i="9"/>
  <c r="I11" i="9"/>
  <c r="F11" i="9"/>
  <c r="E11" i="9"/>
  <c r="D11" i="9"/>
  <c r="C11" i="9"/>
  <c r="B11" i="9"/>
  <c r="A11" i="9"/>
  <c r="O10" i="9"/>
  <c r="N10" i="9"/>
  <c r="M10" i="9"/>
  <c r="L10" i="9"/>
  <c r="K10" i="9"/>
  <c r="J10" i="9"/>
  <c r="I10" i="9"/>
  <c r="F10" i="9"/>
  <c r="E10" i="9"/>
  <c r="D10" i="9"/>
  <c r="C10" i="9"/>
  <c r="B10" i="9"/>
  <c r="A10" i="9"/>
  <c r="O9" i="9"/>
  <c r="N9" i="9"/>
  <c r="M9" i="9"/>
  <c r="L9" i="9"/>
  <c r="K9" i="9"/>
  <c r="J9" i="9"/>
  <c r="I9" i="9"/>
  <c r="F9" i="9"/>
  <c r="E9" i="9"/>
  <c r="D9" i="9"/>
  <c r="C9" i="9"/>
  <c r="B9" i="9"/>
  <c r="A9" i="9"/>
  <c r="O8" i="9"/>
  <c r="N8" i="9"/>
  <c r="M8" i="9"/>
  <c r="L8" i="9"/>
  <c r="K8" i="9"/>
  <c r="J8" i="9"/>
  <c r="I8" i="9"/>
  <c r="F8" i="9"/>
  <c r="E8" i="9"/>
  <c r="D8" i="9"/>
  <c r="C8" i="9"/>
  <c r="B8" i="9"/>
  <c r="A8" i="9"/>
  <c r="O7" i="9"/>
  <c r="N7" i="9"/>
  <c r="M7" i="9"/>
  <c r="L7" i="9"/>
  <c r="K7" i="9"/>
  <c r="J7" i="9"/>
  <c r="I7" i="9"/>
  <c r="F7" i="9"/>
  <c r="E7" i="9"/>
  <c r="D7" i="9"/>
  <c r="C7" i="9"/>
  <c r="B7" i="9"/>
  <c r="A7" i="9"/>
  <c r="O6" i="9"/>
  <c r="N6" i="9"/>
  <c r="M6" i="9"/>
  <c r="L6" i="9"/>
  <c r="K6" i="9"/>
  <c r="J6" i="9"/>
  <c r="I6" i="9"/>
  <c r="F6" i="9"/>
  <c r="E6" i="9"/>
  <c r="D6" i="9"/>
  <c r="C6" i="9"/>
  <c r="B6" i="9"/>
  <c r="A6" i="9"/>
  <c r="O5" i="9"/>
  <c r="N5" i="9"/>
  <c r="M5" i="9"/>
  <c r="L5" i="9"/>
  <c r="K5" i="9"/>
  <c r="J5" i="9"/>
  <c r="I5" i="9"/>
  <c r="F5" i="9"/>
  <c r="E5" i="9"/>
  <c r="D5" i="9"/>
  <c r="C5" i="9"/>
  <c r="B5" i="9"/>
  <c r="A5" i="9"/>
  <c r="O4" i="9"/>
  <c r="N4" i="9"/>
  <c r="M4" i="9"/>
  <c r="L4" i="9"/>
  <c r="K4" i="9"/>
  <c r="J4" i="9"/>
  <c r="I4" i="9"/>
  <c r="F4" i="9"/>
  <c r="E4" i="9"/>
  <c r="D4" i="9"/>
  <c r="C4" i="9"/>
  <c r="B4" i="9"/>
  <c r="A4" i="9"/>
  <c r="AG28" i="8"/>
  <c r="B28" i="8"/>
  <c r="A28" i="8"/>
  <c r="AG27" i="8"/>
  <c r="B27" i="8"/>
  <c r="A27" i="8"/>
  <c r="AG26" i="8"/>
  <c r="B26" i="8"/>
  <c r="A26" i="8"/>
  <c r="AG25" i="8"/>
  <c r="B25" i="8"/>
  <c r="A25" i="8"/>
  <c r="AG24" i="8"/>
  <c r="B24" i="8"/>
  <c r="A24" i="8"/>
  <c r="AG23" i="8"/>
  <c r="B23" i="8"/>
  <c r="A23" i="8"/>
  <c r="AG22" i="8"/>
  <c r="B22" i="8"/>
  <c r="A22" i="8"/>
  <c r="AG21" i="8"/>
  <c r="B21" i="8"/>
  <c r="A21" i="8"/>
  <c r="AG20" i="8"/>
  <c r="B20" i="8"/>
  <c r="A20" i="8"/>
  <c r="AG19" i="8"/>
  <c r="B19" i="8"/>
  <c r="A19" i="8"/>
  <c r="AG18" i="8"/>
  <c r="B18" i="8"/>
  <c r="A18" i="8"/>
  <c r="AG17" i="8"/>
  <c r="B17" i="8"/>
  <c r="A17" i="8"/>
  <c r="AG16" i="8"/>
  <c r="B16" i="8"/>
  <c r="A16" i="8"/>
  <c r="AG15" i="8"/>
  <c r="B15" i="8"/>
  <c r="A15" i="8"/>
  <c r="AG14" i="8"/>
  <c r="B14" i="8"/>
  <c r="A14" i="8"/>
  <c r="AG13" i="8"/>
  <c r="B13" i="8"/>
  <c r="A13" i="8"/>
  <c r="AG12" i="8"/>
  <c r="B12" i="8"/>
  <c r="A12" i="8"/>
  <c r="AG11" i="8"/>
  <c r="B11" i="8"/>
  <c r="A11" i="8"/>
  <c r="AG10" i="8"/>
  <c r="B10" i="8"/>
  <c r="A10" i="8"/>
  <c r="AG9" i="8"/>
  <c r="B9" i="8"/>
  <c r="A9" i="8"/>
  <c r="AG8" i="8"/>
  <c r="B8" i="8"/>
  <c r="A8" i="8"/>
  <c r="AG7" i="8"/>
  <c r="B7" i="8"/>
  <c r="A7" i="8"/>
  <c r="AG6" i="8"/>
  <c r="B6" i="8"/>
  <c r="A6" i="8"/>
  <c r="AG5" i="8"/>
  <c r="B5" i="8"/>
  <c r="A5" i="8"/>
  <c r="AG4" i="8"/>
  <c r="B4" i="8"/>
  <c r="A4" i="8"/>
  <c r="AG28" i="7"/>
  <c r="B28" i="7"/>
  <c r="A28" i="7"/>
  <c r="AG27" i="7"/>
  <c r="B27" i="7"/>
  <c r="A27" i="7"/>
  <c r="AG26" i="7"/>
  <c r="B26" i="7"/>
  <c r="A26" i="7"/>
  <c r="AG25" i="7"/>
  <c r="B25" i="7"/>
  <c r="A25" i="7"/>
  <c r="AG24" i="7"/>
  <c r="B24" i="7"/>
  <c r="A24" i="7"/>
  <c r="AG23" i="7"/>
  <c r="B23" i="7"/>
  <c r="A23" i="7"/>
  <c r="AG22" i="7"/>
  <c r="B22" i="7"/>
  <c r="A22" i="7"/>
  <c r="AG21" i="7"/>
  <c r="B21" i="7"/>
  <c r="A21" i="7"/>
  <c r="AG20" i="7"/>
  <c r="B20" i="7"/>
  <c r="A20" i="7"/>
  <c r="AG19" i="7"/>
  <c r="B19" i="7"/>
  <c r="A19" i="7"/>
  <c r="AG18" i="7"/>
  <c r="B18" i="7"/>
  <c r="A18" i="7"/>
  <c r="AG17" i="7"/>
  <c r="B17" i="7"/>
  <c r="A17" i="7"/>
  <c r="AG16" i="7"/>
  <c r="B16" i="7"/>
  <c r="A16" i="7"/>
  <c r="AG15" i="7"/>
  <c r="B15" i="7"/>
  <c r="A15" i="7"/>
  <c r="AG14" i="7"/>
  <c r="B14" i="7"/>
  <c r="A14" i="7"/>
  <c r="AG13" i="7"/>
  <c r="B13" i="7"/>
  <c r="A13" i="7"/>
  <c r="AG12" i="7"/>
  <c r="B12" i="7"/>
  <c r="A12" i="7"/>
  <c r="AG11" i="7"/>
  <c r="B11" i="7"/>
  <c r="A11" i="7"/>
  <c r="AG10" i="7"/>
  <c r="B10" i="7"/>
  <c r="A10" i="7"/>
  <c r="AG9" i="7"/>
  <c r="B9" i="7"/>
  <c r="A9" i="7"/>
  <c r="AG8" i="7"/>
  <c r="B8" i="7"/>
  <c r="A8" i="7"/>
  <c r="AG7" i="7"/>
  <c r="B7" i="7"/>
  <c r="A7" i="7"/>
  <c r="AG6" i="7"/>
  <c r="B6" i="7"/>
  <c r="A6" i="7"/>
  <c r="AG5" i="7"/>
  <c r="B5" i="7"/>
  <c r="A5" i="7"/>
  <c r="AG4" i="7"/>
  <c r="B4" i="7"/>
  <c r="A4" i="7"/>
  <c r="AG28" i="6"/>
  <c r="B28" i="6"/>
  <c r="A28" i="6"/>
  <c r="AG27" i="6"/>
  <c r="B27" i="6"/>
  <c r="A27" i="6"/>
  <c r="AG26" i="6"/>
  <c r="B26" i="6"/>
  <c r="A26" i="6"/>
  <c r="AG25" i="6"/>
  <c r="B25" i="6"/>
  <c r="A25" i="6"/>
  <c r="AG24" i="6"/>
  <c r="B24" i="6"/>
  <c r="A24" i="6"/>
  <c r="AG23" i="6"/>
  <c r="B23" i="6"/>
  <c r="A23" i="6"/>
  <c r="AG22" i="6"/>
  <c r="B22" i="6"/>
  <c r="A22" i="6"/>
  <c r="AG21" i="6"/>
  <c r="B21" i="6"/>
  <c r="A21" i="6"/>
  <c r="AG20" i="6"/>
  <c r="B20" i="6"/>
  <c r="A20" i="6"/>
  <c r="AG19" i="6"/>
  <c r="B19" i="6"/>
  <c r="A19" i="6"/>
  <c r="AG18" i="6"/>
  <c r="B18" i="6"/>
  <c r="A18" i="6"/>
  <c r="AG17" i="6"/>
  <c r="B17" i="6"/>
  <c r="A17" i="6"/>
  <c r="AG16" i="6"/>
  <c r="B16" i="6"/>
  <c r="A16" i="6"/>
  <c r="AG15" i="6"/>
  <c r="B15" i="6"/>
  <c r="A15" i="6"/>
  <c r="AG14" i="6"/>
  <c r="B14" i="6"/>
  <c r="A14" i="6"/>
  <c r="AG13" i="6"/>
  <c r="B13" i="6"/>
  <c r="A13" i="6"/>
  <c r="AG12" i="6"/>
  <c r="B12" i="6"/>
  <c r="A12" i="6"/>
  <c r="AG11" i="6"/>
  <c r="B11" i="6"/>
  <c r="A11" i="6"/>
  <c r="AG10" i="6"/>
  <c r="B10" i="6"/>
  <c r="A10" i="6"/>
  <c r="AG9" i="6"/>
  <c r="B9" i="6"/>
  <c r="A9" i="6"/>
  <c r="AG8" i="6"/>
  <c r="B8" i="6"/>
  <c r="A8" i="6"/>
  <c r="AG7" i="6"/>
  <c r="B7" i="6"/>
  <c r="A7" i="6"/>
  <c r="AG6" i="6"/>
  <c r="B6" i="6"/>
  <c r="A6" i="6"/>
  <c r="AG5" i="6"/>
  <c r="B5" i="6"/>
  <c r="A5" i="6"/>
  <c r="AG4" i="6"/>
  <c r="B4" i="6"/>
  <c r="A4" i="6"/>
  <c r="AG28" i="5"/>
  <c r="B28" i="5"/>
  <c r="A28" i="5"/>
  <c r="AG27" i="5"/>
  <c r="B27" i="5"/>
  <c r="A27" i="5"/>
  <c r="AG26" i="5"/>
  <c r="B26" i="5"/>
  <c r="A26" i="5"/>
  <c r="AG25" i="5"/>
  <c r="B25" i="5"/>
  <c r="A25" i="5"/>
  <c r="AG24" i="5"/>
  <c r="B24" i="5"/>
  <c r="A24" i="5"/>
  <c r="AG23" i="5"/>
  <c r="B23" i="5"/>
  <c r="A23" i="5"/>
  <c r="AG22" i="5"/>
  <c r="B22" i="5"/>
  <c r="A22" i="5"/>
  <c r="AG21" i="5"/>
  <c r="B21" i="5"/>
  <c r="A21" i="5"/>
  <c r="AG20" i="5"/>
  <c r="B20" i="5"/>
  <c r="A20" i="5"/>
  <c r="AG19" i="5"/>
  <c r="B19" i="5"/>
  <c r="A19" i="5"/>
  <c r="AG18" i="5"/>
  <c r="B18" i="5"/>
  <c r="A18" i="5"/>
  <c r="AG17" i="5"/>
  <c r="B17" i="5"/>
  <c r="A17" i="5"/>
  <c r="AG16" i="5"/>
  <c r="B16" i="5"/>
  <c r="A16" i="5"/>
  <c r="AG15" i="5"/>
  <c r="B15" i="5"/>
  <c r="A15" i="5"/>
  <c r="AG14" i="5"/>
  <c r="B14" i="5"/>
  <c r="A14" i="5"/>
  <c r="AG13" i="5"/>
  <c r="B13" i="5"/>
  <c r="A13" i="5"/>
  <c r="AG12" i="5"/>
  <c r="B12" i="5"/>
  <c r="A12" i="5"/>
  <c r="AG11" i="5"/>
  <c r="B11" i="5"/>
  <c r="A11" i="5"/>
  <c r="AG10" i="5"/>
  <c r="B10" i="5"/>
  <c r="A10" i="5"/>
  <c r="AG9" i="5"/>
  <c r="B9" i="5"/>
  <c r="A9" i="5"/>
  <c r="AG8" i="5"/>
  <c r="B8" i="5"/>
  <c r="A8" i="5"/>
  <c r="AG7" i="5"/>
  <c r="B7" i="5"/>
  <c r="A7" i="5"/>
  <c r="AG6" i="5"/>
  <c r="B6" i="5"/>
  <c r="A6" i="5"/>
  <c r="AG5" i="5"/>
  <c r="B5" i="5"/>
  <c r="A5" i="5"/>
  <c r="AG4" i="5"/>
  <c r="B4" i="5"/>
  <c r="A4" i="5"/>
</calcChain>
</file>

<file path=xl/sharedStrings.xml><?xml version="1.0" encoding="utf-8"?>
<sst xmlns="http://schemas.openxmlformats.org/spreadsheetml/2006/main" count="136" uniqueCount="100">
  <si>
    <t>ЖУРНАЛ УЧЁТА ОЦЕНОК — модуль ИКТ (ООМ 2, 96 ч = 48 пар по 2 ч, зачёт).  Техник информационных систем (4S06130105).</t>
  </si>
  <si>
    <t>Группа: __________________     Уч. год: 20____ / 20____</t>
  </si>
  <si>
    <t>НОРМАТИВНАЯ ОСНОВА: приказы МОН/МП РК рег. № 5191 (правила текущего контроля/аттестации ТиПО) и № 33330 (Приложение 14).</t>
  </si>
  <si>
    <t>Система оценки: 100-балльная буквенная (A–F); зачёт — на основе текущего контроля (п.8).</t>
  </si>
  <si>
    <t>ЛИСТЫ-КОМПОНЕНТЫ (оценки 0–100 в день занятия; пропуск — буква «н»):</t>
  </si>
  <si>
    <t xml:space="preserve">  • Тесты — тесты/опросы по темам;</t>
  </si>
  <si>
    <t xml:space="preserve">  • Практика — практические задания с устной защитой;</t>
  </si>
  <si>
    <t xml:space="preserve">  • СРС — самостоятельная работа (эссе, отчёты, памятки);</t>
  </si>
  <si>
    <t xml:space="preserve">  • Конспекты — проверка конспектов в тетради;</t>
  </si>
  <si>
    <t xml:space="preserve">  • Итоги — автоматический расчёт зачёта.</t>
  </si>
  <si>
    <t>Столбцы на листах — ПО ДАТАМ: в строке 2 впишите дату занятия (1 дата = 2 ч = 1 пара), ниже — оценки.</t>
  </si>
  <si>
    <t>ВЕСА КОМПОНЕНТОВ:  практика 35 % · тесты 20 % · СРС 15 % · конспекты 5 % · итоговый проект 25 %.</t>
  </si>
  <si>
    <t>ИТОГ % = 0,20·Тесты + 0,35·Практика + 0,15·СРС + 0,05·Конспекты + 0,25·Проект.  Порог зачёта — 50 %.</t>
  </si>
  <si>
    <t>Проект: занятие 38 (мини-проект) и 39 (защита) — вносятся на листе «Итоги».</t>
  </si>
  <si>
    <t>AI-устойчивость: практические задания и проект засчитываются только с устной защитой/демонстрацией.</t>
  </si>
  <si>
    <t>№</t>
  </si>
  <si>
    <t>Часы</t>
  </si>
  <si>
    <t>Пар</t>
  </si>
  <si>
    <t>Тема занятия</t>
  </si>
  <si>
    <t>Изучить роль ИКТ и цифровых технологий в разработке и сопровождении информационных систем</t>
  </si>
  <si>
    <t>Изучить устройство ПК, ОС (Windows/Linux) и файловую систему</t>
  </si>
  <si>
    <t>Освоить работу в командной строке/терминале</t>
  </si>
  <si>
    <t>Понять представление и кодирование информации (системы счисления)</t>
  </si>
  <si>
    <t>Оформлять техническую документацию в текстовом редакторе</t>
  </si>
  <si>
    <t>Использовать электронные таблицы для расчётов и данных</t>
  </si>
  <si>
    <t>Создавать презентации для защиты проектов</t>
  </si>
  <si>
    <t>Распознавать сетевые угрозы: фишинг, вирусы, вредоносное ПО</t>
  </si>
  <si>
    <t>Применять основы информационной безопасности и цифровой гигиены</t>
  </si>
  <si>
    <t>Изучить законы РК «Об информатизации» и «О персональных данных»</t>
  </si>
  <si>
    <t>Пользоваться браузерами, поиском и оценкой достоверности информации</t>
  </si>
  <si>
    <t>Работать с облачными сервисами и совместной работой</t>
  </si>
  <si>
    <t>Изучить виды информационно-справочных и интерактивных веб-порталов</t>
  </si>
  <si>
    <t>Использовать портал eGov.kz и mGov: получение госуслуг</t>
  </si>
  <si>
    <t>Оформлять и применять электронную цифровую подпись (ЭЦП)</t>
  </si>
  <si>
    <t>Использовать справочно-правовые системы (Әділет, online.zakon.kz)</t>
  </si>
  <si>
    <t>Работать с налоговыми и бизнес-сервисами (salyk.kz, регистрация ИП)</t>
  </si>
  <si>
    <t>Оформлять лицензии и разрешения через eLicense.kz</t>
  </si>
  <si>
    <t>Использовать порталы открытых данных (data.egov.kz) и их API</t>
  </si>
  <si>
    <t>Пользоваться проф. справочными ресурсами (документация, Stack Overflow, MDN, GitHub)</t>
  </si>
  <si>
    <t>Использовать образовательные платформы (Stepik, Coursera, Хекслет)</t>
  </si>
  <si>
    <t>Использовать порталы поиска работы в ИТ (Enbek.kz, hh.kz, LinkedIn)</t>
  </si>
  <si>
    <t>Использовать электронные платежи и онлайн-банкинг (Kaspi, Halyk, QR)</t>
  </si>
  <si>
    <t>Работать с интерактивными формами и сервисами совместной работы</t>
  </si>
  <si>
    <t>Введение в ИИ, машинное обучение и человекоцентричный подход к ИИ</t>
  </si>
  <si>
    <t>Использовать ИИ-ассистенты (ChatGPT/Copilot/Gemini) для генерации и объяснения кода</t>
  </si>
  <si>
    <t>Освоить основы промпт-инжиниринга для кодовых задач</t>
  </si>
  <si>
    <t>Применять ИИ для отладки и тестирования кода</t>
  </si>
  <si>
    <t>Освоить основы Python для обработки данных</t>
  </si>
  <si>
    <t>Применять библиотеки Pandas и NumPy (загрузка, очистка, анализ)</t>
  </si>
  <si>
    <t>Создавать визуализацию данных</t>
  </si>
  <si>
    <t>Использовать ИИ для анализа и интерпретации данных</t>
  </si>
  <si>
    <t>Понимать основы ИИ-агентов и агентных сценариев (AI agents)</t>
  </si>
  <si>
    <t>Освоить основы автоматизации через API</t>
  </si>
  <si>
    <t>Использовать no-code платформы (Zapier/Make) и создать простого бота</t>
  </si>
  <si>
    <t>Критически оценивать результаты ИИ: достоверность, предвзятость, галлюцинации, дипфейки</t>
  </si>
  <si>
    <t>Изучить нормативно-правовые аспекты использования ИИ в РК</t>
  </si>
  <si>
    <t>Разработать мини-проект с применением ИИ</t>
  </si>
  <si>
    <t>Защитить итоговый проект и провести рефлексию</t>
  </si>
  <si>
    <t>Порог %</t>
  </si>
  <si>
    <t>Буква</t>
  </si>
  <si>
    <t>GPA</t>
  </si>
  <si>
    <t>5-балл</t>
  </si>
  <si>
    <t>Традиционно</t>
  </si>
  <si>
    <t>Итог</t>
  </si>
  <si>
    <t>F</t>
  </si>
  <si>
    <t>Неудовлетворительно</t>
  </si>
  <si>
    <t>незачёт</t>
  </si>
  <si>
    <t>D</t>
  </si>
  <si>
    <t>Удовлетворительно</t>
  </si>
  <si>
    <t>зачёт</t>
  </si>
  <si>
    <t>D+</t>
  </si>
  <si>
    <t>C-</t>
  </si>
  <si>
    <t>C</t>
  </si>
  <si>
    <t>C+</t>
  </si>
  <si>
    <t>B-</t>
  </si>
  <si>
    <t>Хорошо</t>
  </si>
  <si>
    <t>B</t>
  </si>
  <si>
    <t>B+</t>
  </si>
  <si>
    <t>A-</t>
  </si>
  <si>
    <t>Отлично</t>
  </si>
  <si>
    <t>A</t>
  </si>
  <si>
    <t>ФИО студента</t>
  </si>
  <si>
    <t>Список учебной группы</t>
  </si>
  <si>
    <t>ТЕСТЫ (тесты/опросы по темам)</t>
  </si>
  <si>
    <t>Дата занятия →  (впишите дату над столбцом; оценка 0–100, пропуск «н»)</t>
  </si>
  <si>
    <t>Средний %</t>
  </si>
  <si>
    <t>ПРАКТИКА (задания с устной защитой)</t>
  </si>
  <si>
    <t>СРС (самостоятельная работа)</t>
  </si>
  <si>
    <t>ПРОВЕРКА КОНСПЕКТОВ В ТЕТРАДИ</t>
  </si>
  <si>
    <t>ИТОГИ — расчёт зачёта (веса: практика 35 · тесты 20 · СРС 15 · конспекты 5 · проект 25)</t>
  </si>
  <si>
    <t>Тесты %</t>
  </si>
  <si>
    <t>Практика %</t>
  </si>
  <si>
    <t>СРС %</t>
  </si>
  <si>
    <t>Конспекты %</t>
  </si>
  <si>
    <t>Проект-38 %</t>
  </si>
  <si>
    <t>Защита-39 %</t>
  </si>
  <si>
    <t>Проект %</t>
  </si>
  <si>
    <t>ИТОГ %</t>
  </si>
  <si>
    <t>Зачёт</t>
  </si>
  <si>
    <t>Рейтинг допуска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</si>
</sst>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110FC-C42A-4338-8ED9-38D5CF455FEA}">
  <dimension ref="A1:A20"/>
  <sheetViews>
    <sheetView tabSelected="1" workbookViewId="0"/>
  </sheetViews>
  <sheetFormatPr defaultRowHeight="15" x14ac:dyDescent="0.25"/>
  <cols>
    <col min="1" max="1" width="112.7109375" customWidth="1"/>
  </cols>
  <sheetData>
    <row r="1" spans="1:1" ht="17.25" x14ac:dyDescent="0.3">
      <c r="A1" s="2" t="s">
        <v>0</v>
      </c>
    </row>
    <row r="3" spans="1:1" x14ac:dyDescent="0.25">
      <c r="A3" t="s">
        <v>1</v>
      </c>
    </row>
    <row r="5" spans="1:1" x14ac:dyDescent="0.25">
      <c r="A5" t="s">
        <v>2</v>
      </c>
    </row>
    <row r="6" spans="1:1" x14ac:dyDescent="0.25">
      <c r="A6" t="s">
        <v>3</v>
      </c>
    </row>
    <row r="8" spans="1:1" x14ac:dyDescent="0.25">
      <c r="A8" t="s">
        <v>4</v>
      </c>
    </row>
    <row r="9" spans="1:1" x14ac:dyDescent="0.25">
      <c r="A9" t="s">
        <v>5</v>
      </c>
    </row>
    <row r="10" spans="1:1" x14ac:dyDescent="0.25">
      <c r="A10" t="s">
        <v>6</v>
      </c>
    </row>
    <row r="11" spans="1:1" x14ac:dyDescent="0.25">
      <c r="A11" t="s">
        <v>7</v>
      </c>
    </row>
    <row r="12" spans="1:1" x14ac:dyDescent="0.25">
      <c r="A12" t="s">
        <v>8</v>
      </c>
    </row>
    <row r="13" spans="1:1" x14ac:dyDescent="0.25">
      <c r="A13" t="s">
        <v>9</v>
      </c>
    </row>
    <row r="14" spans="1:1" x14ac:dyDescent="0.25">
      <c r="A14" t="s">
        <v>10</v>
      </c>
    </row>
    <row r="16" spans="1:1" x14ac:dyDescent="0.25">
      <c r="A16" t="s">
        <v>11</v>
      </c>
    </row>
    <row r="17" spans="1:1" x14ac:dyDescent="0.25">
      <c r="A17" t="s">
        <v>12</v>
      </c>
    </row>
    <row r="18" spans="1:1" x14ac:dyDescent="0.25">
      <c r="A18" t="s">
        <v>13</v>
      </c>
    </row>
    <row r="20" spans="1:1" x14ac:dyDescent="0.25">
      <c r="A20" t="s">
        <v>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C2046-7787-4451-AA7E-17BC5D8AA648}">
  <dimension ref="A1:D40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5.7109375" customWidth="1"/>
    <col min="2" max="2" width="6.7109375" customWidth="1"/>
    <col min="3" max="3" width="5.7109375" customWidth="1"/>
    <col min="4" max="4" width="88.7109375" customWidth="1"/>
  </cols>
  <sheetData>
    <row r="1" spans="1:4" x14ac:dyDescent="0.25">
      <c r="A1" s="1" t="s">
        <v>15</v>
      </c>
      <c r="B1" s="1" t="s">
        <v>16</v>
      </c>
      <c r="C1" s="1" t="s">
        <v>17</v>
      </c>
      <c r="D1" s="1" t="s">
        <v>18</v>
      </c>
    </row>
    <row r="2" spans="1:4" x14ac:dyDescent="0.25">
      <c r="A2">
        <v>1</v>
      </c>
      <c r="B2">
        <v>2</v>
      </c>
      <c r="C2">
        <v>1</v>
      </c>
      <c r="D2" t="s">
        <v>19</v>
      </c>
    </row>
    <row r="3" spans="1:4" x14ac:dyDescent="0.25">
      <c r="A3">
        <v>2</v>
      </c>
      <c r="B3">
        <v>2</v>
      </c>
      <c r="C3">
        <v>1</v>
      </c>
      <c r="D3" t="s">
        <v>20</v>
      </c>
    </row>
    <row r="4" spans="1:4" x14ac:dyDescent="0.25">
      <c r="A4">
        <v>3</v>
      </c>
      <c r="B4">
        <v>2</v>
      </c>
      <c r="C4">
        <v>1</v>
      </c>
      <c r="D4" t="s">
        <v>21</v>
      </c>
    </row>
    <row r="5" spans="1:4" x14ac:dyDescent="0.25">
      <c r="A5">
        <v>4</v>
      </c>
      <c r="B5">
        <v>2</v>
      </c>
      <c r="C5">
        <v>1</v>
      </c>
      <c r="D5" t="s">
        <v>22</v>
      </c>
    </row>
    <row r="6" spans="1:4" x14ac:dyDescent="0.25">
      <c r="A6">
        <v>5</v>
      </c>
      <c r="B6">
        <v>2</v>
      </c>
      <c r="C6">
        <v>1</v>
      </c>
      <c r="D6" t="s">
        <v>23</v>
      </c>
    </row>
    <row r="7" spans="1:4" x14ac:dyDescent="0.25">
      <c r="A7">
        <v>6</v>
      </c>
      <c r="B7">
        <v>2</v>
      </c>
      <c r="C7">
        <v>1</v>
      </c>
      <c r="D7" t="s">
        <v>24</v>
      </c>
    </row>
    <row r="8" spans="1:4" x14ac:dyDescent="0.25">
      <c r="A8">
        <v>7</v>
      </c>
      <c r="B8">
        <v>2</v>
      </c>
      <c r="C8">
        <v>1</v>
      </c>
      <c r="D8" t="s">
        <v>25</v>
      </c>
    </row>
    <row r="9" spans="1:4" x14ac:dyDescent="0.25">
      <c r="A9">
        <v>8</v>
      </c>
      <c r="B9">
        <v>2</v>
      </c>
      <c r="C9">
        <v>1</v>
      </c>
      <c r="D9" t="s">
        <v>26</v>
      </c>
    </row>
    <row r="10" spans="1:4" x14ac:dyDescent="0.25">
      <c r="A10">
        <v>9</v>
      </c>
      <c r="B10">
        <v>2</v>
      </c>
      <c r="C10">
        <v>1</v>
      </c>
      <c r="D10" t="s">
        <v>27</v>
      </c>
    </row>
    <row r="11" spans="1:4" x14ac:dyDescent="0.25">
      <c r="A11">
        <v>10</v>
      </c>
      <c r="B11">
        <v>2</v>
      </c>
      <c r="C11">
        <v>1</v>
      </c>
      <c r="D11" t="s">
        <v>28</v>
      </c>
    </row>
    <row r="12" spans="1:4" x14ac:dyDescent="0.25">
      <c r="A12">
        <v>11</v>
      </c>
      <c r="B12">
        <v>2</v>
      </c>
      <c r="C12">
        <v>1</v>
      </c>
      <c r="D12" t="s">
        <v>29</v>
      </c>
    </row>
    <row r="13" spans="1:4" x14ac:dyDescent="0.25">
      <c r="A13">
        <v>12</v>
      </c>
      <c r="B13">
        <v>2</v>
      </c>
      <c r="C13">
        <v>1</v>
      </c>
      <c r="D13" t="s">
        <v>30</v>
      </c>
    </row>
    <row r="14" spans="1:4" x14ac:dyDescent="0.25">
      <c r="A14">
        <v>13</v>
      </c>
      <c r="B14">
        <v>2</v>
      </c>
      <c r="C14">
        <v>1</v>
      </c>
      <c r="D14" t="s">
        <v>31</v>
      </c>
    </row>
    <row r="15" spans="1:4" x14ac:dyDescent="0.25">
      <c r="A15">
        <v>14</v>
      </c>
      <c r="B15">
        <v>2</v>
      </c>
      <c r="C15">
        <v>1</v>
      </c>
      <c r="D15" t="s">
        <v>32</v>
      </c>
    </row>
    <row r="16" spans="1:4" x14ac:dyDescent="0.25">
      <c r="A16">
        <v>15</v>
      </c>
      <c r="B16">
        <v>2</v>
      </c>
      <c r="C16">
        <v>1</v>
      </c>
      <c r="D16" t="s">
        <v>33</v>
      </c>
    </row>
    <row r="17" spans="1:4" x14ac:dyDescent="0.25">
      <c r="A17">
        <v>16</v>
      </c>
      <c r="B17">
        <v>2</v>
      </c>
      <c r="C17">
        <v>1</v>
      </c>
      <c r="D17" t="s">
        <v>34</v>
      </c>
    </row>
    <row r="18" spans="1:4" x14ac:dyDescent="0.25">
      <c r="A18">
        <v>17</v>
      </c>
      <c r="B18">
        <v>2</v>
      </c>
      <c r="C18">
        <v>1</v>
      </c>
      <c r="D18" t="s">
        <v>35</v>
      </c>
    </row>
    <row r="19" spans="1:4" x14ac:dyDescent="0.25">
      <c r="A19">
        <v>18</v>
      </c>
      <c r="B19">
        <v>2</v>
      </c>
      <c r="C19">
        <v>1</v>
      </c>
      <c r="D19" t="s">
        <v>36</v>
      </c>
    </row>
    <row r="20" spans="1:4" x14ac:dyDescent="0.25">
      <c r="A20">
        <v>19</v>
      </c>
      <c r="B20">
        <v>2</v>
      </c>
      <c r="C20">
        <v>1</v>
      </c>
      <c r="D20" t="s">
        <v>37</v>
      </c>
    </row>
    <row r="21" spans="1:4" x14ac:dyDescent="0.25">
      <c r="A21">
        <v>20</v>
      </c>
      <c r="B21">
        <v>2</v>
      </c>
      <c r="C21">
        <v>1</v>
      </c>
      <c r="D21" t="s">
        <v>38</v>
      </c>
    </row>
    <row r="22" spans="1:4" x14ac:dyDescent="0.25">
      <c r="A22">
        <v>21</v>
      </c>
      <c r="B22">
        <v>2</v>
      </c>
      <c r="C22">
        <v>1</v>
      </c>
      <c r="D22" t="s">
        <v>39</v>
      </c>
    </row>
    <row r="23" spans="1:4" x14ac:dyDescent="0.25">
      <c r="A23">
        <v>22</v>
      </c>
      <c r="B23">
        <v>2</v>
      </c>
      <c r="C23">
        <v>1</v>
      </c>
      <c r="D23" t="s">
        <v>40</v>
      </c>
    </row>
    <row r="24" spans="1:4" x14ac:dyDescent="0.25">
      <c r="A24">
        <v>23</v>
      </c>
      <c r="B24">
        <v>2</v>
      </c>
      <c r="C24">
        <v>1</v>
      </c>
      <c r="D24" t="s">
        <v>41</v>
      </c>
    </row>
    <row r="25" spans="1:4" x14ac:dyDescent="0.25">
      <c r="A25">
        <v>24</v>
      </c>
      <c r="B25">
        <v>2</v>
      </c>
      <c r="C25">
        <v>1</v>
      </c>
      <c r="D25" t="s">
        <v>42</v>
      </c>
    </row>
    <row r="26" spans="1:4" x14ac:dyDescent="0.25">
      <c r="A26">
        <v>25</v>
      </c>
      <c r="B26">
        <v>2</v>
      </c>
      <c r="C26">
        <v>1</v>
      </c>
      <c r="D26" t="s">
        <v>43</v>
      </c>
    </row>
    <row r="27" spans="1:4" x14ac:dyDescent="0.25">
      <c r="A27">
        <v>26</v>
      </c>
      <c r="B27">
        <v>6</v>
      </c>
      <c r="C27">
        <v>3</v>
      </c>
      <c r="D27" t="s">
        <v>44</v>
      </c>
    </row>
    <row r="28" spans="1:4" x14ac:dyDescent="0.25">
      <c r="A28">
        <v>27</v>
      </c>
      <c r="B28">
        <v>4</v>
      </c>
      <c r="C28">
        <v>2</v>
      </c>
      <c r="D28" t="s">
        <v>45</v>
      </c>
    </row>
    <row r="29" spans="1:4" x14ac:dyDescent="0.25">
      <c r="A29">
        <v>28</v>
      </c>
      <c r="B29">
        <v>4</v>
      </c>
      <c r="C29">
        <v>2</v>
      </c>
      <c r="D29" t="s">
        <v>46</v>
      </c>
    </row>
    <row r="30" spans="1:4" x14ac:dyDescent="0.25">
      <c r="A30">
        <v>29</v>
      </c>
      <c r="B30">
        <v>6</v>
      </c>
      <c r="C30">
        <v>3</v>
      </c>
      <c r="D30" t="s">
        <v>47</v>
      </c>
    </row>
    <row r="31" spans="1:4" x14ac:dyDescent="0.25">
      <c r="A31">
        <v>30</v>
      </c>
      <c r="B31">
        <v>4</v>
      </c>
      <c r="C31">
        <v>2</v>
      </c>
      <c r="D31" t="s">
        <v>48</v>
      </c>
    </row>
    <row r="32" spans="1:4" x14ac:dyDescent="0.25">
      <c r="A32">
        <v>31</v>
      </c>
      <c r="B32">
        <v>2</v>
      </c>
      <c r="C32">
        <v>1</v>
      </c>
      <c r="D32" t="s">
        <v>49</v>
      </c>
    </row>
    <row r="33" spans="1:4" x14ac:dyDescent="0.25">
      <c r="A33">
        <v>32</v>
      </c>
      <c r="B33">
        <v>2</v>
      </c>
      <c r="C33">
        <v>1</v>
      </c>
      <c r="D33" t="s">
        <v>50</v>
      </c>
    </row>
    <row r="34" spans="1:4" x14ac:dyDescent="0.25">
      <c r="A34">
        <v>33</v>
      </c>
      <c r="B34">
        <v>2</v>
      </c>
      <c r="C34">
        <v>1</v>
      </c>
      <c r="D34" t="s">
        <v>51</v>
      </c>
    </row>
    <row r="35" spans="1:4" x14ac:dyDescent="0.25">
      <c r="A35">
        <v>34</v>
      </c>
      <c r="B35">
        <v>4</v>
      </c>
      <c r="C35">
        <v>2</v>
      </c>
      <c r="D35" t="s">
        <v>52</v>
      </c>
    </row>
    <row r="36" spans="1:4" x14ac:dyDescent="0.25">
      <c r="A36">
        <v>35</v>
      </c>
      <c r="B36">
        <v>4</v>
      </c>
      <c r="C36">
        <v>2</v>
      </c>
      <c r="D36" t="s">
        <v>53</v>
      </c>
    </row>
    <row r="37" spans="1:4" x14ac:dyDescent="0.25">
      <c r="A37">
        <v>36</v>
      </c>
      <c r="B37">
        <v>2</v>
      </c>
      <c r="C37">
        <v>1</v>
      </c>
      <c r="D37" t="s">
        <v>54</v>
      </c>
    </row>
    <row r="38" spans="1:4" x14ac:dyDescent="0.25">
      <c r="A38">
        <v>37</v>
      </c>
      <c r="B38">
        <v>2</v>
      </c>
      <c r="C38">
        <v>1</v>
      </c>
      <c r="D38" t="s">
        <v>55</v>
      </c>
    </row>
    <row r="39" spans="1:4" x14ac:dyDescent="0.25">
      <c r="A39">
        <v>38</v>
      </c>
      <c r="B39">
        <v>2</v>
      </c>
      <c r="C39">
        <v>1</v>
      </c>
      <c r="D39" t="s">
        <v>56</v>
      </c>
    </row>
    <row r="40" spans="1:4" x14ac:dyDescent="0.25">
      <c r="A40">
        <v>39</v>
      </c>
      <c r="B40">
        <v>2</v>
      </c>
      <c r="C40">
        <v>1</v>
      </c>
      <c r="D40" t="s">
        <v>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F11B4-AF42-4CD1-8E34-566F0FDC1AEC}">
  <dimension ref="A1:F12"/>
  <sheetViews>
    <sheetView workbookViewId="0"/>
  </sheetViews>
  <sheetFormatPr defaultRowHeight="15" x14ac:dyDescent="0.25"/>
  <cols>
    <col min="1" max="1" width="10.7109375" customWidth="1"/>
    <col min="5" max="5" width="22.7109375" customWidth="1"/>
  </cols>
  <sheetData>
    <row r="1" spans="1:6" x14ac:dyDescent="0.25">
      <c r="A1" s="1" t="s">
        <v>58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63</v>
      </c>
    </row>
    <row r="2" spans="1:6" x14ac:dyDescent="0.25">
      <c r="A2">
        <v>0</v>
      </c>
      <c r="B2" t="s">
        <v>64</v>
      </c>
      <c r="C2">
        <v>0</v>
      </c>
      <c r="D2">
        <v>2</v>
      </c>
      <c r="E2" t="s">
        <v>65</v>
      </c>
      <c r="F2" t="s">
        <v>66</v>
      </c>
    </row>
    <row r="3" spans="1:6" x14ac:dyDescent="0.25">
      <c r="A3">
        <v>50</v>
      </c>
      <c r="B3" t="s">
        <v>67</v>
      </c>
      <c r="C3">
        <v>1</v>
      </c>
      <c r="D3">
        <v>3</v>
      </c>
      <c r="E3" t="s">
        <v>68</v>
      </c>
      <c r="F3" t="s">
        <v>69</v>
      </c>
    </row>
    <row r="4" spans="1:6" x14ac:dyDescent="0.25">
      <c r="A4">
        <v>55</v>
      </c>
      <c r="B4" t="s">
        <v>70</v>
      </c>
      <c r="C4">
        <v>1.33</v>
      </c>
      <c r="D4">
        <v>3</v>
      </c>
      <c r="E4" t="s">
        <v>68</v>
      </c>
      <c r="F4" t="s">
        <v>69</v>
      </c>
    </row>
    <row r="5" spans="1:6" x14ac:dyDescent="0.25">
      <c r="A5">
        <v>60</v>
      </c>
      <c r="B5" t="s">
        <v>71</v>
      </c>
      <c r="C5">
        <v>1.67</v>
      </c>
      <c r="D5">
        <v>3</v>
      </c>
      <c r="E5" t="s">
        <v>68</v>
      </c>
      <c r="F5" t="s">
        <v>69</v>
      </c>
    </row>
    <row r="6" spans="1:6" x14ac:dyDescent="0.25">
      <c r="A6">
        <v>65</v>
      </c>
      <c r="B6" t="s">
        <v>72</v>
      </c>
      <c r="C6">
        <v>2</v>
      </c>
      <c r="D6">
        <v>3</v>
      </c>
      <c r="E6" t="s">
        <v>68</v>
      </c>
      <c r="F6" t="s">
        <v>69</v>
      </c>
    </row>
    <row r="7" spans="1:6" x14ac:dyDescent="0.25">
      <c r="A7">
        <v>70</v>
      </c>
      <c r="B7" t="s">
        <v>73</v>
      </c>
      <c r="C7">
        <v>2.33</v>
      </c>
      <c r="D7">
        <v>3</v>
      </c>
      <c r="E7" t="s">
        <v>68</v>
      </c>
      <c r="F7" t="s">
        <v>69</v>
      </c>
    </row>
    <row r="8" spans="1:6" x14ac:dyDescent="0.25">
      <c r="A8">
        <v>75</v>
      </c>
      <c r="B8" t="s">
        <v>74</v>
      </c>
      <c r="C8">
        <v>2.67</v>
      </c>
      <c r="D8">
        <v>4</v>
      </c>
      <c r="E8" t="s">
        <v>75</v>
      </c>
      <c r="F8" t="s">
        <v>69</v>
      </c>
    </row>
    <row r="9" spans="1:6" x14ac:dyDescent="0.25">
      <c r="A9">
        <v>80</v>
      </c>
      <c r="B9" t="s">
        <v>76</v>
      </c>
      <c r="C9">
        <v>3</v>
      </c>
      <c r="D9">
        <v>4</v>
      </c>
      <c r="E9" t="s">
        <v>75</v>
      </c>
      <c r="F9" t="s">
        <v>69</v>
      </c>
    </row>
    <row r="10" spans="1:6" x14ac:dyDescent="0.25">
      <c r="A10">
        <v>85</v>
      </c>
      <c r="B10" t="s">
        <v>77</v>
      </c>
      <c r="C10">
        <v>3.33</v>
      </c>
      <c r="D10">
        <v>4</v>
      </c>
      <c r="E10" t="s">
        <v>75</v>
      </c>
      <c r="F10" t="s">
        <v>69</v>
      </c>
    </row>
    <row r="11" spans="1:6" x14ac:dyDescent="0.25">
      <c r="A11">
        <v>90</v>
      </c>
      <c r="B11" t="s">
        <v>78</v>
      </c>
      <c r="C11">
        <v>3.67</v>
      </c>
      <c r="D11">
        <v>5</v>
      </c>
      <c r="E11" t="s">
        <v>79</v>
      </c>
      <c r="F11" t="s">
        <v>69</v>
      </c>
    </row>
    <row r="12" spans="1:6" x14ac:dyDescent="0.25">
      <c r="A12">
        <v>95</v>
      </c>
      <c r="B12" t="s">
        <v>80</v>
      </c>
      <c r="C12">
        <v>4</v>
      </c>
      <c r="D12">
        <v>5</v>
      </c>
      <c r="E12" t="s">
        <v>79</v>
      </c>
      <c r="F12" t="s">
        <v>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B458B-135F-42DF-A66D-ED3121CDC758}">
  <dimension ref="A1:B28"/>
  <sheetViews>
    <sheetView workbookViewId="0">
      <pane ySplit="3" topLeftCell="A4" activePane="bottomLeft" state="frozenSplit"/>
      <selection pane="bottomLeft"/>
    </sheetView>
  </sheetViews>
  <sheetFormatPr defaultRowHeight="15" x14ac:dyDescent="0.25"/>
  <cols>
    <col min="1" max="1" width="5.7109375" customWidth="1"/>
    <col min="2" max="2" width="40.7109375" customWidth="1"/>
  </cols>
  <sheetData>
    <row r="1" spans="1:2" x14ac:dyDescent="0.25">
      <c r="A1" t="s">
        <v>82</v>
      </c>
    </row>
    <row r="3" spans="1:2" x14ac:dyDescent="0.25">
      <c r="A3" s="1" t="s">
        <v>15</v>
      </c>
      <c r="B3" s="1" t="s">
        <v>81</v>
      </c>
    </row>
    <row r="4" spans="1:2" x14ac:dyDescent="0.25">
      <c r="A4">
        <v>1</v>
      </c>
    </row>
    <row r="5" spans="1:2" x14ac:dyDescent="0.25">
      <c r="A5">
        <v>2</v>
      </c>
    </row>
    <row r="6" spans="1:2" x14ac:dyDescent="0.25">
      <c r="A6">
        <v>3</v>
      </c>
    </row>
    <row r="7" spans="1:2" x14ac:dyDescent="0.25">
      <c r="A7">
        <v>4</v>
      </c>
    </row>
    <row r="8" spans="1:2" x14ac:dyDescent="0.25">
      <c r="A8">
        <v>5</v>
      </c>
    </row>
    <row r="9" spans="1:2" x14ac:dyDescent="0.25">
      <c r="A9">
        <v>6</v>
      </c>
    </row>
    <row r="10" spans="1:2" x14ac:dyDescent="0.25">
      <c r="A10">
        <v>7</v>
      </c>
    </row>
    <row r="11" spans="1:2" x14ac:dyDescent="0.25">
      <c r="A11">
        <v>8</v>
      </c>
    </row>
    <row r="12" spans="1:2" x14ac:dyDescent="0.25">
      <c r="A12">
        <v>9</v>
      </c>
    </row>
    <row r="13" spans="1:2" x14ac:dyDescent="0.25">
      <c r="A13">
        <v>10</v>
      </c>
    </row>
    <row r="14" spans="1:2" x14ac:dyDescent="0.25">
      <c r="A14">
        <v>11</v>
      </c>
    </row>
    <row r="15" spans="1:2" x14ac:dyDescent="0.25">
      <c r="A15">
        <v>12</v>
      </c>
    </row>
    <row r="16" spans="1:2" x14ac:dyDescent="0.25">
      <c r="A16">
        <v>13</v>
      </c>
    </row>
    <row r="17" spans="1:1" x14ac:dyDescent="0.25">
      <c r="A17">
        <v>14</v>
      </c>
    </row>
    <row r="18" spans="1:1" x14ac:dyDescent="0.25">
      <c r="A18">
        <v>15</v>
      </c>
    </row>
    <row r="19" spans="1:1" x14ac:dyDescent="0.25">
      <c r="A19">
        <v>16</v>
      </c>
    </row>
    <row r="20" spans="1:1" x14ac:dyDescent="0.25">
      <c r="A20">
        <v>17</v>
      </c>
    </row>
    <row r="21" spans="1:1" x14ac:dyDescent="0.25">
      <c r="A21">
        <v>18</v>
      </c>
    </row>
    <row r="22" spans="1:1" x14ac:dyDescent="0.25">
      <c r="A22">
        <v>19</v>
      </c>
    </row>
    <row r="23" spans="1:1" x14ac:dyDescent="0.25">
      <c r="A23">
        <v>20</v>
      </c>
    </row>
    <row r="24" spans="1:1" x14ac:dyDescent="0.25">
      <c r="A24">
        <v>21</v>
      </c>
    </row>
    <row r="25" spans="1:1" x14ac:dyDescent="0.25">
      <c r="A25">
        <v>22</v>
      </c>
    </row>
    <row r="26" spans="1:1" x14ac:dyDescent="0.25">
      <c r="A26">
        <v>23</v>
      </c>
    </row>
    <row r="27" spans="1:1" x14ac:dyDescent="0.25">
      <c r="A27">
        <v>24</v>
      </c>
    </row>
    <row r="28" spans="1:1" x14ac:dyDescent="0.25">
      <c r="A28">
        <v>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CF6DA-6421-4FBC-9F4B-7896B1290244}">
  <dimension ref="A1:AG28"/>
  <sheetViews>
    <sheetView workbookViewId="0">
      <pane xSplit="2" ySplit="3" topLeftCell="C4" activePane="bottomRight" state="frozenSplit"/>
      <selection pane="topRight" activeCell="C1" sqref="C1"/>
      <selection pane="bottomLeft" activeCell="A4" sqref="A4"/>
      <selection pane="bottomRight"/>
    </sheetView>
  </sheetViews>
  <sheetFormatPr defaultRowHeight="15" x14ac:dyDescent="0.25"/>
  <cols>
    <col min="2" max="2" width="30.7109375" customWidth="1"/>
    <col min="3" max="32" width="6.7109375" customWidth="1"/>
  </cols>
  <sheetData>
    <row r="1" spans="1:33" x14ac:dyDescent="0.25">
      <c r="A1" s="1" t="s">
        <v>83</v>
      </c>
    </row>
    <row r="2" spans="1:33" x14ac:dyDescent="0.25">
      <c r="B2" t="s">
        <v>84</v>
      </c>
    </row>
    <row r="3" spans="1:33" x14ac:dyDescent="0.25">
      <c r="A3" s="1" t="s">
        <v>15</v>
      </c>
      <c r="B3" s="1" t="s">
        <v>81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 t="s">
        <v>85</v>
      </c>
    </row>
    <row r="4" spans="1:33" x14ac:dyDescent="0.25">
      <c r="A4">
        <f>Список!A4</f>
        <v>1</v>
      </c>
      <c r="B4">
        <f>Список!B4</f>
        <v>0</v>
      </c>
      <c r="AG4" t="str">
        <f>IFERROR(AVERAGE(C4:AF4),"")</f>
        <v/>
      </c>
    </row>
    <row r="5" spans="1:33" x14ac:dyDescent="0.25">
      <c r="A5">
        <f>Список!A5</f>
        <v>2</v>
      </c>
      <c r="B5">
        <f>Список!B5</f>
        <v>0</v>
      </c>
      <c r="AG5" t="str">
        <f>IFERROR(AVERAGE(C5:AF5),"")</f>
        <v/>
      </c>
    </row>
    <row r="6" spans="1:33" x14ac:dyDescent="0.25">
      <c r="A6">
        <f>Список!A6</f>
        <v>3</v>
      </c>
      <c r="B6">
        <f>Список!B6</f>
        <v>0</v>
      </c>
      <c r="AG6" t="str">
        <f>IFERROR(AVERAGE(C6:AF6),"")</f>
        <v/>
      </c>
    </row>
    <row r="7" spans="1:33" x14ac:dyDescent="0.25">
      <c r="A7">
        <f>Список!A7</f>
        <v>4</v>
      </c>
      <c r="B7">
        <f>Список!B7</f>
        <v>0</v>
      </c>
      <c r="AG7" t="str">
        <f>IFERROR(AVERAGE(C7:AF7),"")</f>
        <v/>
      </c>
    </row>
    <row r="8" spans="1:33" x14ac:dyDescent="0.25">
      <c r="A8">
        <f>Список!A8</f>
        <v>5</v>
      </c>
      <c r="B8">
        <f>Список!B8</f>
        <v>0</v>
      </c>
      <c r="AG8" t="str">
        <f>IFERROR(AVERAGE(C8:AF8),"")</f>
        <v/>
      </c>
    </row>
    <row r="9" spans="1:33" x14ac:dyDescent="0.25">
      <c r="A9">
        <f>Список!A9</f>
        <v>6</v>
      </c>
      <c r="B9">
        <f>Список!B9</f>
        <v>0</v>
      </c>
      <c r="AG9" t="str">
        <f>IFERROR(AVERAGE(C9:AF9),"")</f>
        <v/>
      </c>
    </row>
    <row r="10" spans="1:33" x14ac:dyDescent="0.25">
      <c r="A10">
        <f>Список!A10</f>
        <v>7</v>
      </c>
      <c r="B10">
        <f>Список!B10</f>
        <v>0</v>
      </c>
      <c r="AG10" t="str">
        <f>IFERROR(AVERAGE(C10:AF10),"")</f>
        <v/>
      </c>
    </row>
    <row r="11" spans="1:33" x14ac:dyDescent="0.25">
      <c r="A11">
        <f>Список!A11</f>
        <v>8</v>
      </c>
      <c r="B11">
        <f>Список!B11</f>
        <v>0</v>
      </c>
      <c r="AG11" t="str">
        <f>IFERROR(AVERAGE(C11:AF11),"")</f>
        <v/>
      </c>
    </row>
    <row r="12" spans="1:33" x14ac:dyDescent="0.25">
      <c r="A12">
        <f>Список!A12</f>
        <v>9</v>
      </c>
      <c r="B12">
        <f>Список!B12</f>
        <v>0</v>
      </c>
      <c r="AG12" t="str">
        <f>IFERROR(AVERAGE(C12:AF12),"")</f>
        <v/>
      </c>
    </row>
    <row r="13" spans="1:33" x14ac:dyDescent="0.25">
      <c r="A13">
        <f>Список!A13</f>
        <v>10</v>
      </c>
      <c r="B13">
        <f>Список!B13</f>
        <v>0</v>
      </c>
      <c r="AG13" t="str">
        <f>IFERROR(AVERAGE(C13:AF13),"")</f>
        <v/>
      </c>
    </row>
    <row r="14" spans="1:33" x14ac:dyDescent="0.25">
      <c r="A14">
        <f>Список!A14</f>
        <v>11</v>
      </c>
      <c r="B14">
        <f>Список!B14</f>
        <v>0</v>
      </c>
      <c r="AG14" t="str">
        <f>IFERROR(AVERAGE(C14:AF14),"")</f>
        <v/>
      </c>
    </row>
    <row r="15" spans="1:33" x14ac:dyDescent="0.25">
      <c r="A15">
        <f>Список!A15</f>
        <v>12</v>
      </c>
      <c r="B15">
        <f>Список!B15</f>
        <v>0</v>
      </c>
      <c r="AG15" t="str">
        <f>IFERROR(AVERAGE(C15:AF15),"")</f>
        <v/>
      </c>
    </row>
    <row r="16" spans="1:33" x14ac:dyDescent="0.25">
      <c r="A16">
        <f>Список!A16</f>
        <v>13</v>
      </c>
      <c r="B16">
        <f>Список!B16</f>
        <v>0</v>
      </c>
      <c r="AG16" t="str">
        <f>IFERROR(AVERAGE(C16:AF16),"")</f>
        <v/>
      </c>
    </row>
    <row r="17" spans="1:33" x14ac:dyDescent="0.25">
      <c r="A17">
        <f>Список!A17</f>
        <v>14</v>
      </c>
      <c r="B17">
        <f>Список!B17</f>
        <v>0</v>
      </c>
      <c r="AG17" t="str">
        <f>IFERROR(AVERAGE(C17:AF17),"")</f>
        <v/>
      </c>
    </row>
    <row r="18" spans="1:33" x14ac:dyDescent="0.25">
      <c r="A18">
        <f>Список!A18</f>
        <v>15</v>
      </c>
      <c r="B18">
        <f>Список!B18</f>
        <v>0</v>
      </c>
      <c r="AG18" t="str">
        <f>IFERROR(AVERAGE(C18:AF18),"")</f>
        <v/>
      </c>
    </row>
    <row r="19" spans="1:33" x14ac:dyDescent="0.25">
      <c r="A19">
        <f>Список!A19</f>
        <v>16</v>
      </c>
      <c r="B19">
        <f>Список!B19</f>
        <v>0</v>
      </c>
      <c r="AG19" t="str">
        <f>IFERROR(AVERAGE(C19:AF19),"")</f>
        <v/>
      </c>
    </row>
    <row r="20" spans="1:33" x14ac:dyDescent="0.25">
      <c r="A20">
        <f>Список!A20</f>
        <v>17</v>
      </c>
      <c r="B20">
        <f>Список!B20</f>
        <v>0</v>
      </c>
      <c r="AG20" t="str">
        <f>IFERROR(AVERAGE(C20:AF20),"")</f>
        <v/>
      </c>
    </row>
    <row r="21" spans="1:33" x14ac:dyDescent="0.25">
      <c r="A21">
        <f>Список!A21</f>
        <v>18</v>
      </c>
      <c r="B21">
        <f>Список!B21</f>
        <v>0</v>
      </c>
      <c r="AG21" t="str">
        <f>IFERROR(AVERAGE(C21:AF21),"")</f>
        <v/>
      </c>
    </row>
    <row r="22" spans="1:33" x14ac:dyDescent="0.25">
      <c r="A22">
        <f>Список!A22</f>
        <v>19</v>
      </c>
      <c r="B22">
        <f>Список!B22</f>
        <v>0</v>
      </c>
      <c r="AG22" t="str">
        <f>IFERROR(AVERAGE(C22:AF22),"")</f>
        <v/>
      </c>
    </row>
    <row r="23" spans="1:33" x14ac:dyDescent="0.25">
      <c r="A23">
        <f>Список!A23</f>
        <v>20</v>
      </c>
      <c r="B23">
        <f>Список!B23</f>
        <v>0</v>
      </c>
      <c r="AG23" t="str">
        <f>IFERROR(AVERAGE(C23:AF23),"")</f>
        <v/>
      </c>
    </row>
    <row r="24" spans="1:33" x14ac:dyDescent="0.25">
      <c r="A24">
        <f>Список!A24</f>
        <v>21</v>
      </c>
      <c r="B24">
        <f>Список!B24</f>
        <v>0</v>
      </c>
      <c r="AG24" t="str">
        <f>IFERROR(AVERAGE(C24:AF24),"")</f>
        <v/>
      </c>
    </row>
    <row r="25" spans="1:33" x14ac:dyDescent="0.25">
      <c r="A25">
        <f>Список!A25</f>
        <v>22</v>
      </c>
      <c r="B25">
        <f>Список!B25</f>
        <v>0</v>
      </c>
      <c r="AG25" t="str">
        <f>IFERROR(AVERAGE(C25:AF25),"")</f>
        <v/>
      </c>
    </row>
    <row r="26" spans="1:33" x14ac:dyDescent="0.25">
      <c r="A26">
        <f>Список!A26</f>
        <v>23</v>
      </c>
      <c r="B26">
        <f>Список!B26</f>
        <v>0</v>
      </c>
      <c r="AG26" t="str">
        <f>IFERROR(AVERAGE(C26:AF26),"")</f>
        <v/>
      </c>
    </row>
    <row r="27" spans="1:33" x14ac:dyDescent="0.25">
      <c r="A27">
        <f>Список!A27</f>
        <v>24</v>
      </c>
      <c r="B27">
        <f>Список!B27</f>
        <v>0</v>
      </c>
      <c r="AG27" t="str">
        <f>IFERROR(AVERAGE(C27:AF27),"")</f>
        <v/>
      </c>
    </row>
    <row r="28" spans="1:33" x14ac:dyDescent="0.25">
      <c r="A28">
        <f>Список!A28</f>
        <v>25</v>
      </c>
      <c r="B28">
        <f>Список!B28</f>
        <v>0</v>
      </c>
      <c r="AG28" t="str">
        <f>IFERROR(AVERAGE(C28:AF28),"")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F5677-2336-4CAC-861E-B7B9F3930674}">
  <dimension ref="A1:AG28"/>
  <sheetViews>
    <sheetView workbookViewId="0">
      <pane xSplit="2" ySplit="3" topLeftCell="C4" activePane="bottomRight" state="frozenSplit"/>
      <selection pane="topRight" activeCell="C1" sqref="C1"/>
      <selection pane="bottomLeft" activeCell="A4" sqref="A4"/>
      <selection pane="bottomRight"/>
    </sheetView>
  </sheetViews>
  <sheetFormatPr defaultRowHeight="15" x14ac:dyDescent="0.25"/>
  <cols>
    <col min="2" max="2" width="30.7109375" customWidth="1"/>
    <col min="3" max="32" width="6.7109375" customWidth="1"/>
  </cols>
  <sheetData>
    <row r="1" spans="1:33" x14ac:dyDescent="0.25">
      <c r="A1" s="1" t="s">
        <v>86</v>
      </c>
    </row>
    <row r="2" spans="1:33" x14ac:dyDescent="0.25">
      <c r="B2" t="s">
        <v>84</v>
      </c>
    </row>
    <row r="3" spans="1:33" x14ac:dyDescent="0.25">
      <c r="A3" s="1" t="s">
        <v>15</v>
      </c>
      <c r="B3" s="1" t="s">
        <v>81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 t="s">
        <v>85</v>
      </c>
    </row>
    <row r="4" spans="1:33" x14ac:dyDescent="0.25">
      <c r="A4">
        <f>Список!A4</f>
        <v>1</v>
      </c>
      <c r="B4">
        <f>Список!B4</f>
        <v>0</v>
      </c>
      <c r="AG4" t="str">
        <f>IFERROR(AVERAGE(C4:AF4),"")</f>
        <v/>
      </c>
    </row>
    <row r="5" spans="1:33" x14ac:dyDescent="0.25">
      <c r="A5">
        <f>Список!A5</f>
        <v>2</v>
      </c>
      <c r="B5">
        <f>Список!B5</f>
        <v>0</v>
      </c>
      <c r="AG5" t="str">
        <f>IFERROR(AVERAGE(C5:AF5),"")</f>
        <v/>
      </c>
    </row>
    <row r="6" spans="1:33" x14ac:dyDescent="0.25">
      <c r="A6">
        <f>Список!A6</f>
        <v>3</v>
      </c>
      <c r="B6">
        <f>Список!B6</f>
        <v>0</v>
      </c>
      <c r="AG6" t="str">
        <f>IFERROR(AVERAGE(C6:AF6),"")</f>
        <v/>
      </c>
    </row>
    <row r="7" spans="1:33" x14ac:dyDescent="0.25">
      <c r="A7">
        <f>Список!A7</f>
        <v>4</v>
      </c>
      <c r="B7">
        <f>Список!B7</f>
        <v>0</v>
      </c>
      <c r="AG7" t="str">
        <f>IFERROR(AVERAGE(C7:AF7),"")</f>
        <v/>
      </c>
    </row>
    <row r="8" spans="1:33" x14ac:dyDescent="0.25">
      <c r="A8">
        <f>Список!A8</f>
        <v>5</v>
      </c>
      <c r="B8">
        <f>Список!B8</f>
        <v>0</v>
      </c>
      <c r="AG8" t="str">
        <f>IFERROR(AVERAGE(C8:AF8),"")</f>
        <v/>
      </c>
    </row>
    <row r="9" spans="1:33" x14ac:dyDescent="0.25">
      <c r="A9">
        <f>Список!A9</f>
        <v>6</v>
      </c>
      <c r="B9">
        <f>Список!B9</f>
        <v>0</v>
      </c>
      <c r="AG9" t="str">
        <f>IFERROR(AVERAGE(C9:AF9),"")</f>
        <v/>
      </c>
    </row>
    <row r="10" spans="1:33" x14ac:dyDescent="0.25">
      <c r="A10">
        <f>Список!A10</f>
        <v>7</v>
      </c>
      <c r="B10">
        <f>Список!B10</f>
        <v>0</v>
      </c>
      <c r="AG10" t="str">
        <f>IFERROR(AVERAGE(C10:AF10),"")</f>
        <v/>
      </c>
    </row>
    <row r="11" spans="1:33" x14ac:dyDescent="0.25">
      <c r="A11">
        <f>Список!A11</f>
        <v>8</v>
      </c>
      <c r="B11">
        <f>Список!B11</f>
        <v>0</v>
      </c>
      <c r="AG11" t="str">
        <f>IFERROR(AVERAGE(C11:AF11),"")</f>
        <v/>
      </c>
    </row>
    <row r="12" spans="1:33" x14ac:dyDescent="0.25">
      <c r="A12">
        <f>Список!A12</f>
        <v>9</v>
      </c>
      <c r="B12">
        <f>Список!B12</f>
        <v>0</v>
      </c>
      <c r="AG12" t="str">
        <f>IFERROR(AVERAGE(C12:AF12),"")</f>
        <v/>
      </c>
    </row>
    <row r="13" spans="1:33" x14ac:dyDescent="0.25">
      <c r="A13">
        <f>Список!A13</f>
        <v>10</v>
      </c>
      <c r="B13">
        <f>Список!B13</f>
        <v>0</v>
      </c>
      <c r="AG13" t="str">
        <f>IFERROR(AVERAGE(C13:AF13),"")</f>
        <v/>
      </c>
    </row>
    <row r="14" spans="1:33" x14ac:dyDescent="0.25">
      <c r="A14">
        <f>Список!A14</f>
        <v>11</v>
      </c>
      <c r="B14">
        <f>Список!B14</f>
        <v>0</v>
      </c>
      <c r="AG14" t="str">
        <f>IFERROR(AVERAGE(C14:AF14),"")</f>
        <v/>
      </c>
    </row>
    <row r="15" spans="1:33" x14ac:dyDescent="0.25">
      <c r="A15">
        <f>Список!A15</f>
        <v>12</v>
      </c>
      <c r="B15">
        <f>Список!B15</f>
        <v>0</v>
      </c>
      <c r="AG15" t="str">
        <f>IFERROR(AVERAGE(C15:AF15),"")</f>
        <v/>
      </c>
    </row>
    <row r="16" spans="1:33" x14ac:dyDescent="0.25">
      <c r="A16">
        <f>Список!A16</f>
        <v>13</v>
      </c>
      <c r="B16">
        <f>Список!B16</f>
        <v>0</v>
      </c>
      <c r="AG16" t="str">
        <f>IFERROR(AVERAGE(C16:AF16),"")</f>
        <v/>
      </c>
    </row>
    <row r="17" spans="1:33" x14ac:dyDescent="0.25">
      <c r="A17">
        <f>Список!A17</f>
        <v>14</v>
      </c>
      <c r="B17">
        <f>Список!B17</f>
        <v>0</v>
      </c>
      <c r="AG17" t="str">
        <f>IFERROR(AVERAGE(C17:AF17),"")</f>
        <v/>
      </c>
    </row>
    <row r="18" spans="1:33" x14ac:dyDescent="0.25">
      <c r="A18">
        <f>Список!A18</f>
        <v>15</v>
      </c>
      <c r="B18">
        <f>Список!B18</f>
        <v>0</v>
      </c>
      <c r="AG18" t="str">
        <f>IFERROR(AVERAGE(C18:AF18),"")</f>
        <v/>
      </c>
    </row>
    <row r="19" spans="1:33" x14ac:dyDescent="0.25">
      <c r="A19">
        <f>Список!A19</f>
        <v>16</v>
      </c>
      <c r="B19">
        <f>Список!B19</f>
        <v>0</v>
      </c>
      <c r="AG19" t="str">
        <f>IFERROR(AVERAGE(C19:AF19),"")</f>
        <v/>
      </c>
    </row>
    <row r="20" spans="1:33" x14ac:dyDescent="0.25">
      <c r="A20">
        <f>Список!A20</f>
        <v>17</v>
      </c>
      <c r="B20">
        <f>Список!B20</f>
        <v>0</v>
      </c>
      <c r="AG20" t="str">
        <f>IFERROR(AVERAGE(C20:AF20),"")</f>
        <v/>
      </c>
    </row>
    <row r="21" spans="1:33" x14ac:dyDescent="0.25">
      <c r="A21">
        <f>Список!A21</f>
        <v>18</v>
      </c>
      <c r="B21">
        <f>Список!B21</f>
        <v>0</v>
      </c>
      <c r="AG21" t="str">
        <f>IFERROR(AVERAGE(C21:AF21),"")</f>
        <v/>
      </c>
    </row>
    <row r="22" spans="1:33" x14ac:dyDescent="0.25">
      <c r="A22">
        <f>Список!A22</f>
        <v>19</v>
      </c>
      <c r="B22">
        <f>Список!B22</f>
        <v>0</v>
      </c>
      <c r="AG22" t="str">
        <f>IFERROR(AVERAGE(C22:AF22),"")</f>
        <v/>
      </c>
    </row>
    <row r="23" spans="1:33" x14ac:dyDescent="0.25">
      <c r="A23">
        <f>Список!A23</f>
        <v>20</v>
      </c>
      <c r="B23">
        <f>Список!B23</f>
        <v>0</v>
      </c>
      <c r="AG23" t="str">
        <f>IFERROR(AVERAGE(C23:AF23),"")</f>
        <v/>
      </c>
    </row>
    <row r="24" spans="1:33" x14ac:dyDescent="0.25">
      <c r="A24">
        <f>Список!A24</f>
        <v>21</v>
      </c>
      <c r="B24">
        <f>Список!B24</f>
        <v>0</v>
      </c>
      <c r="AG24" t="str">
        <f>IFERROR(AVERAGE(C24:AF24),"")</f>
        <v/>
      </c>
    </row>
    <row r="25" spans="1:33" x14ac:dyDescent="0.25">
      <c r="A25">
        <f>Список!A25</f>
        <v>22</v>
      </c>
      <c r="B25">
        <f>Список!B25</f>
        <v>0</v>
      </c>
      <c r="AG25" t="str">
        <f>IFERROR(AVERAGE(C25:AF25),"")</f>
        <v/>
      </c>
    </row>
    <row r="26" spans="1:33" x14ac:dyDescent="0.25">
      <c r="A26">
        <f>Список!A26</f>
        <v>23</v>
      </c>
      <c r="B26">
        <f>Список!B26</f>
        <v>0</v>
      </c>
      <c r="AG26" t="str">
        <f>IFERROR(AVERAGE(C26:AF26),"")</f>
        <v/>
      </c>
    </row>
    <row r="27" spans="1:33" x14ac:dyDescent="0.25">
      <c r="A27">
        <f>Список!A27</f>
        <v>24</v>
      </c>
      <c r="B27">
        <f>Список!B27</f>
        <v>0</v>
      </c>
      <c r="AG27" t="str">
        <f>IFERROR(AVERAGE(C27:AF27),"")</f>
        <v/>
      </c>
    </row>
    <row r="28" spans="1:33" x14ac:dyDescent="0.25">
      <c r="A28">
        <f>Список!A28</f>
        <v>25</v>
      </c>
      <c r="B28">
        <f>Список!B28</f>
        <v>0</v>
      </c>
      <c r="AG28" t="str">
        <f>IFERROR(AVERAGE(C28:AF28),"")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8A954-F512-444E-BC9B-6B7FD3709609}">
  <dimension ref="A1:AG28"/>
  <sheetViews>
    <sheetView workbookViewId="0">
      <pane xSplit="2" ySplit="3" topLeftCell="C4" activePane="bottomRight" state="frozenSplit"/>
      <selection pane="topRight" activeCell="C1" sqref="C1"/>
      <selection pane="bottomLeft" activeCell="A4" sqref="A4"/>
      <selection pane="bottomRight"/>
    </sheetView>
  </sheetViews>
  <sheetFormatPr defaultRowHeight="15" x14ac:dyDescent="0.25"/>
  <cols>
    <col min="2" max="2" width="30.7109375" customWidth="1"/>
    <col min="3" max="32" width="6.7109375" customWidth="1"/>
  </cols>
  <sheetData>
    <row r="1" spans="1:33" x14ac:dyDescent="0.25">
      <c r="A1" s="1" t="s">
        <v>87</v>
      </c>
    </row>
    <row r="2" spans="1:33" x14ac:dyDescent="0.25">
      <c r="B2" t="s">
        <v>84</v>
      </c>
    </row>
    <row r="3" spans="1:33" x14ac:dyDescent="0.25">
      <c r="A3" s="1" t="s">
        <v>15</v>
      </c>
      <c r="B3" s="1" t="s">
        <v>81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 t="s">
        <v>85</v>
      </c>
    </row>
    <row r="4" spans="1:33" x14ac:dyDescent="0.25">
      <c r="A4">
        <f>Список!A4</f>
        <v>1</v>
      </c>
      <c r="B4">
        <f>Список!B4</f>
        <v>0</v>
      </c>
      <c r="AG4" t="str">
        <f>IFERROR(AVERAGE(C4:AF4),"")</f>
        <v/>
      </c>
    </row>
    <row r="5" spans="1:33" x14ac:dyDescent="0.25">
      <c r="A5">
        <f>Список!A5</f>
        <v>2</v>
      </c>
      <c r="B5">
        <f>Список!B5</f>
        <v>0</v>
      </c>
      <c r="AG5" t="str">
        <f>IFERROR(AVERAGE(C5:AF5),"")</f>
        <v/>
      </c>
    </row>
    <row r="6" spans="1:33" x14ac:dyDescent="0.25">
      <c r="A6">
        <f>Список!A6</f>
        <v>3</v>
      </c>
      <c r="B6">
        <f>Список!B6</f>
        <v>0</v>
      </c>
      <c r="AG6" t="str">
        <f>IFERROR(AVERAGE(C6:AF6),"")</f>
        <v/>
      </c>
    </row>
    <row r="7" spans="1:33" x14ac:dyDescent="0.25">
      <c r="A7">
        <f>Список!A7</f>
        <v>4</v>
      </c>
      <c r="B7">
        <f>Список!B7</f>
        <v>0</v>
      </c>
      <c r="AG7" t="str">
        <f>IFERROR(AVERAGE(C7:AF7),"")</f>
        <v/>
      </c>
    </row>
    <row r="8" spans="1:33" x14ac:dyDescent="0.25">
      <c r="A8">
        <f>Список!A8</f>
        <v>5</v>
      </c>
      <c r="B8">
        <f>Список!B8</f>
        <v>0</v>
      </c>
      <c r="AG8" t="str">
        <f>IFERROR(AVERAGE(C8:AF8),"")</f>
        <v/>
      </c>
    </row>
    <row r="9" spans="1:33" x14ac:dyDescent="0.25">
      <c r="A9">
        <f>Список!A9</f>
        <v>6</v>
      </c>
      <c r="B9">
        <f>Список!B9</f>
        <v>0</v>
      </c>
      <c r="AG9" t="str">
        <f>IFERROR(AVERAGE(C9:AF9),"")</f>
        <v/>
      </c>
    </row>
    <row r="10" spans="1:33" x14ac:dyDescent="0.25">
      <c r="A10">
        <f>Список!A10</f>
        <v>7</v>
      </c>
      <c r="B10">
        <f>Список!B10</f>
        <v>0</v>
      </c>
      <c r="AG10" t="str">
        <f>IFERROR(AVERAGE(C10:AF10),"")</f>
        <v/>
      </c>
    </row>
    <row r="11" spans="1:33" x14ac:dyDescent="0.25">
      <c r="A11">
        <f>Список!A11</f>
        <v>8</v>
      </c>
      <c r="B11">
        <f>Список!B11</f>
        <v>0</v>
      </c>
      <c r="AG11" t="str">
        <f>IFERROR(AVERAGE(C11:AF11),"")</f>
        <v/>
      </c>
    </row>
    <row r="12" spans="1:33" x14ac:dyDescent="0.25">
      <c r="A12">
        <f>Список!A12</f>
        <v>9</v>
      </c>
      <c r="B12">
        <f>Список!B12</f>
        <v>0</v>
      </c>
      <c r="AG12" t="str">
        <f>IFERROR(AVERAGE(C12:AF12),"")</f>
        <v/>
      </c>
    </row>
    <row r="13" spans="1:33" x14ac:dyDescent="0.25">
      <c r="A13">
        <f>Список!A13</f>
        <v>10</v>
      </c>
      <c r="B13">
        <f>Список!B13</f>
        <v>0</v>
      </c>
      <c r="AG13" t="str">
        <f>IFERROR(AVERAGE(C13:AF13),"")</f>
        <v/>
      </c>
    </row>
    <row r="14" spans="1:33" x14ac:dyDescent="0.25">
      <c r="A14">
        <f>Список!A14</f>
        <v>11</v>
      </c>
      <c r="B14">
        <f>Список!B14</f>
        <v>0</v>
      </c>
      <c r="AG14" t="str">
        <f>IFERROR(AVERAGE(C14:AF14),"")</f>
        <v/>
      </c>
    </row>
    <row r="15" spans="1:33" x14ac:dyDescent="0.25">
      <c r="A15">
        <f>Список!A15</f>
        <v>12</v>
      </c>
      <c r="B15">
        <f>Список!B15</f>
        <v>0</v>
      </c>
      <c r="AG15" t="str">
        <f>IFERROR(AVERAGE(C15:AF15),"")</f>
        <v/>
      </c>
    </row>
    <row r="16" spans="1:33" x14ac:dyDescent="0.25">
      <c r="A16">
        <f>Список!A16</f>
        <v>13</v>
      </c>
      <c r="B16">
        <f>Список!B16</f>
        <v>0</v>
      </c>
      <c r="AG16" t="str">
        <f>IFERROR(AVERAGE(C16:AF16),"")</f>
        <v/>
      </c>
    </row>
    <row r="17" spans="1:33" x14ac:dyDescent="0.25">
      <c r="A17">
        <f>Список!A17</f>
        <v>14</v>
      </c>
      <c r="B17">
        <f>Список!B17</f>
        <v>0</v>
      </c>
      <c r="AG17" t="str">
        <f>IFERROR(AVERAGE(C17:AF17),"")</f>
        <v/>
      </c>
    </row>
    <row r="18" spans="1:33" x14ac:dyDescent="0.25">
      <c r="A18">
        <f>Список!A18</f>
        <v>15</v>
      </c>
      <c r="B18">
        <f>Список!B18</f>
        <v>0</v>
      </c>
      <c r="AG18" t="str">
        <f>IFERROR(AVERAGE(C18:AF18),"")</f>
        <v/>
      </c>
    </row>
    <row r="19" spans="1:33" x14ac:dyDescent="0.25">
      <c r="A19">
        <f>Список!A19</f>
        <v>16</v>
      </c>
      <c r="B19">
        <f>Список!B19</f>
        <v>0</v>
      </c>
      <c r="AG19" t="str">
        <f>IFERROR(AVERAGE(C19:AF19),"")</f>
        <v/>
      </c>
    </row>
    <row r="20" spans="1:33" x14ac:dyDescent="0.25">
      <c r="A20">
        <f>Список!A20</f>
        <v>17</v>
      </c>
      <c r="B20">
        <f>Список!B20</f>
        <v>0</v>
      </c>
      <c r="AG20" t="str">
        <f>IFERROR(AVERAGE(C20:AF20),"")</f>
        <v/>
      </c>
    </row>
    <row r="21" spans="1:33" x14ac:dyDescent="0.25">
      <c r="A21">
        <f>Список!A21</f>
        <v>18</v>
      </c>
      <c r="B21">
        <f>Список!B21</f>
        <v>0</v>
      </c>
      <c r="AG21" t="str">
        <f>IFERROR(AVERAGE(C21:AF21),"")</f>
        <v/>
      </c>
    </row>
    <row r="22" spans="1:33" x14ac:dyDescent="0.25">
      <c r="A22">
        <f>Список!A22</f>
        <v>19</v>
      </c>
      <c r="B22">
        <f>Список!B22</f>
        <v>0</v>
      </c>
      <c r="AG22" t="str">
        <f>IFERROR(AVERAGE(C22:AF22),"")</f>
        <v/>
      </c>
    </row>
    <row r="23" spans="1:33" x14ac:dyDescent="0.25">
      <c r="A23">
        <f>Список!A23</f>
        <v>20</v>
      </c>
      <c r="B23">
        <f>Список!B23</f>
        <v>0</v>
      </c>
      <c r="AG23" t="str">
        <f>IFERROR(AVERAGE(C23:AF23),"")</f>
        <v/>
      </c>
    </row>
    <row r="24" spans="1:33" x14ac:dyDescent="0.25">
      <c r="A24">
        <f>Список!A24</f>
        <v>21</v>
      </c>
      <c r="B24">
        <f>Список!B24</f>
        <v>0</v>
      </c>
      <c r="AG24" t="str">
        <f>IFERROR(AVERAGE(C24:AF24),"")</f>
        <v/>
      </c>
    </row>
    <row r="25" spans="1:33" x14ac:dyDescent="0.25">
      <c r="A25">
        <f>Список!A25</f>
        <v>22</v>
      </c>
      <c r="B25">
        <f>Список!B25</f>
        <v>0</v>
      </c>
      <c r="AG25" t="str">
        <f>IFERROR(AVERAGE(C25:AF25),"")</f>
        <v/>
      </c>
    </row>
    <row r="26" spans="1:33" x14ac:dyDescent="0.25">
      <c r="A26">
        <f>Список!A26</f>
        <v>23</v>
      </c>
      <c r="B26">
        <f>Список!B26</f>
        <v>0</v>
      </c>
      <c r="AG26" t="str">
        <f>IFERROR(AVERAGE(C26:AF26),"")</f>
        <v/>
      </c>
    </row>
    <row r="27" spans="1:33" x14ac:dyDescent="0.25">
      <c r="A27">
        <f>Список!A27</f>
        <v>24</v>
      </c>
      <c r="B27">
        <f>Список!B27</f>
        <v>0</v>
      </c>
      <c r="AG27" t="str">
        <f>IFERROR(AVERAGE(C27:AF27),"")</f>
        <v/>
      </c>
    </row>
    <row r="28" spans="1:33" x14ac:dyDescent="0.25">
      <c r="A28">
        <f>Список!A28</f>
        <v>25</v>
      </c>
      <c r="B28">
        <f>Список!B28</f>
        <v>0</v>
      </c>
      <c r="AG28" t="str">
        <f>IFERROR(AVERAGE(C28:AF28),"")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002FD-2C90-4FAD-A700-7474B773F4C6}">
  <dimension ref="A1:AG28"/>
  <sheetViews>
    <sheetView workbookViewId="0">
      <pane xSplit="2" ySplit="3" topLeftCell="C4" activePane="bottomRight" state="frozenSplit"/>
      <selection pane="topRight" activeCell="C1" sqref="C1"/>
      <selection pane="bottomLeft" activeCell="A4" sqref="A4"/>
      <selection pane="bottomRight"/>
    </sheetView>
  </sheetViews>
  <sheetFormatPr defaultRowHeight="15" x14ac:dyDescent="0.25"/>
  <cols>
    <col min="2" max="2" width="30.7109375" customWidth="1"/>
    <col min="3" max="32" width="6.7109375" customWidth="1"/>
  </cols>
  <sheetData>
    <row r="1" spans="1:33" x14ac:dyDescent="0.25">
      <c r="A1" s="1" t="s">
        <v>88</v>
      </c>
    </row>
    <row r="2" spans="1:33" x14ac:dyDescent="0.25">
      <c r="B2" t="s">
        <v>84</v>
      </c>
    </row>
    <row r="3" spans="1:33" x14ac:dyDescent="0.25">
      <c r="A3" s="1" t="s">
        <v>15</v>
      </c>
      <c r="B3" s="1" t="s">
        <v>81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 t="s">
        <v>85</v>
      </c>
    </row>
    <row r="4" spans="1:33" x14ac:dyDescent="0.25">
      <c r="A4">
        <f>Список!A4</f>
        <v>1</v>
      </c>
      <c r="B4">
        <f>Список!B4</f>
        <v>0</v>
      </c>
      <c r="AG4" t="str">
        <f>IFERROR(AVERAGE(C4:AF4),"")</f>
        <v/>
      </c>
    </row>
    <row r="5" spans="1:33" x14ac:dyDescent="0.25">
      <c r="A5">
        <f>Список!A5</f>
        <v>2</v>
      </c>
      <c r="B5">
        <f>Список!B5</f>
        <v>0</v>
      </c>
      <c r="AG5" t="str">
        <f>IFERROR(AVERAGE(C5:AF5),"")</f>
        <v/>
      </c>
    </row>
    <row r="6" spans="1:33" x14ac:dyDescent="0.25">
      <c r="A6">
        <f>Список!A6</f>
        <v>3</v>
      </c>
      <c r="B6">
        <f>Список!B6</f>
        <v>0</v>
      </c>
      <c r="AG6" t="str">
        <f>IFERROR(AVERAGE(C6:AF6),"")</f>
        <v/>
      </c>
    </row>
    <row r="7" spans="1:33" x14ac:dyDescent="0.25">
      <c r="A7">
        <f>Список!A7</f>
        <v>4</v>
      </c>
      <c r="B7">
        <f>Список!B7</f>
        <v>0</v>
      </c>
      <c r="AG7" t="str">
        <f>IFERROR(AVERAGE(C7:AF7),"")</f>
        <v/>
      </c>
    </row>
    <row r="8" spans="1:33" x14ac:dyDescent="0.25">
      <c r="A8">
        <f>Список!A8</f>
        <v>5</v>
      </c>
      <c r="B8">
        <f>Список!B8</f>
        <v>0</v>
      </c>
      <c r="AG8" t="str">
        <f>IFERROR(AVERAGE(C8:AF8),"")</f>
        <v/>
      </c>
    </row>
    <row r="9" spans="1:33" x14ac:dyDescent="0.25">
      <c r="A9">
        <f>Список!A9</f>
        <v>6</v>
      </c>
      <c r="B9">
        <f>Список!B9</f>
        <v>0</v>
      </c>
      <c r="AG9" t="str">
        <f>IFERROR(AVERAGE(C9:AF9),"")</f>
        <v/>
      </c>
    </row>
    <row r="10" spans="1:33" x14ac:dyDescent="0.25">
      <c r="A10">
        <f>Список!A10</f>
        <v>7</v>
      </c>
      <c r="B10">
        <f>Список!B10</f>
        <v>0</v>
      </c>
      <c r="AG10" t="str">
        <f>IFERROR(AVERAGE(C10:AF10),"")</f>
        <v/>
      </c>
    </row>
    <row r="11" spans="1:33" x14ac:dyDescent="0.25">
      <c r="A11">
        <f>Список!A11</f>
        <v>8</v>
      </c>
      <c r="B11">
        <f>Список!B11</f>
        <v>0</v>
      </c>
      <c r="AG11" t="str">
        <f>IFERROR(AVERAGE(C11:AF11),"")</f>
        <v/>
      </c>
    </row>
    <row r="12" spans="1:33" x14ac:dyDescent="0.25">
      <c r="A12">
        <f>Список!A12</f>
        <v>9</v>
      </c>
      <c r="B12">
        <f>Список!B12</f>
        <v>0</v>
      </c>
      <c r="AG12" t="str">
        <f>IFERROR(AVERAGE(C12:AF12),"")</f>
        <v/>
      </c>
    </row>
    <row r="13" spans="1:33" x14ac:dyDescent="0.25">
      <c r="A13">
        <f>Список!A13</f>
        <v>10</v>
      </c>
      <c r="B13">
        <f>Список!B13</f>
        <v>0</v>
      </c>
      <c r="AG13" t="str">
        <f>IFERROR(AVERAGE(C13:AF13),"")</f>
        <v/>
      </c>
    </row>
    <row r="14" spans="1:33" x14ac:dyDescent="0.25">
      <c r="A14">
        <f>Список!A14</f>
        <v>11</v>
      </c>
      <c r="B14">
        <f>Список!B14</f>
        <v>0</v>
      </c>
      <c r="AG14" t="str">
        <f>IFERROR(AVERAGE(C14:AF14),"")</f>
        <v/>
      </c>
    </row>
    <row r="15" spans="1:33" x14ac:dyDescent="0.25">
      <c r="A15">
        <f>Список!A15</f>
        <v>12</v>
      </c>
      <c r="B15">
        <f>Список!B15</f>
        <v>0</v>
      </c>
      <c r="AG15" t="str">
        <f>IFERROR(AVERAGE(C15:AF15),"")</f>
        <v/>
      </c>
    </row>
    <row r="16" spans="1:33" x14ac:dyDescent="0.25">
      <c r="A16">
        <f>Список!A16</f>
        <v>13</v>
      </c>
      <c r="B16">
        <f>Список!B16</f>
        <v>0</v>
      </c>
      <c r="AG16" t="str">
        <f>IFERROR(AVERAGE(C16:AF16),"")</f>
        <v/>
      </c>
    </row>
    <row r="17" spans="1:33" x14ac:dyDescent="0.25">
      <c r="A17">
        <f>Список!A17</f>
        <v>14</v>
      </c>
      <c r="B17">
        <f>Список!B17</f>
        <v>0</v>
      </c>
      <c r="AG17" t="str">
        <f>IFERROR(AVERAGE(C17:AF17),"")</f>
        <v/>
      </c>
    </row>
    <row r="18" spans="1:33" x14ac:dyDescent="0.25">
      <c r="A18">
        <f>Список!A18</f>
        <v>15</v>
      </c>
      <c r="B18">
        <f>Список!B18</f>
        <v>0</v>
      </c>
      <c r="AG18" t="str">
        <f>IFERROR(AVERAGE(C18:AF18),"")</f>
        <v/>
      </c>
    </row>
    <row r="19" spans="1:33" x14ac:dyDescent="0.25">
      <c r="A19">
        <f>Список!A19</f>
        <v>16</v>
      </c>
      <c r="B19">
        <f>Список!B19</f>
        <v>0</v>
      </c>
      <c r="AG19" t="str">
        <f>IFERROR(AVERAGE(C19:AF19),"")</f>
        <v/>
      </c>
    </row>
    <row r="20" spans="1:33" x14ac:dyDescent="0.25">
      <c r="A20">
        <f>Список!A20</f>
        <v>17</v>
      </c>
      <c r="B20">
        <f>Список!B20</f>
        <v>0</v>
      </c>
      <c r="AG20" t="str">
        <f>IFERROR(AVERAGE(C20:AF20),"")</f>
        <v/>
      </c>
    </row>
    <row r="21" spans="1:33" x14ac:dyDescent="0.25">
      <c r="A21">
        <f>Список!A21</f>
        <v>18</v>
      </c>
      <c r="B21">
        <f>Список!B21</f>
        <v>0</v>
      </c>
      <c r="AG21" t="str">
        <f>IFERROR(AVERAGE(C21:AF21),"")</f>
        <v/>
      </c>
    </row>
    <row r="22" spans="1:33" x14ac:dyDescent="0.25">
      <c r="A22">
        <f>Список!A22</f>
        <v>19</v>
      </c>
      <c r="B22">
        <f>Список!B22</f>
        <v>0</v>
      </c>
      <c r="AG22" t="str">
        <f>IFERROR(AVERAGE(C22:AF22),"")</f>
        <v/>
      </c>
    </row>
    <row r="23" spans="1:33" x14ac:dyDescent="0.25">
      <c r="A23">
        <f>Список!A23</f>
        <v>20</v>
      </c>
      <c r="B23">
        <f>Список!B23</f>
        <v>0</v>
      </c>
      <c r="AG23" t="str">
        <f>IFERROR(AVERAGE(C23:AF23),"")</f>
        <v/>
      </c>
    </row>
    <row r="24" spans="1:33" x14ac:dyDescent="0.25">
      <c r="A24">
        <f>Список!A24</f>
        <v>21</v>
      </c>
      <c r="B24">
        <f>Список!B24</f>
        <v>0</v>
      </c>
      <c r="AG24" t="str">
        <f>IFERROR(AVERAGE(C24:AF24),"")</f>
        <v/>
      </c>
    </row>
    <row r="25" spans="1:33" x14ac:dyDescent="0.25">
      <c r="A25">
        <f>Список!A25</f>
        <v>22</v>
      </c>
      <c r="B25">
        <f>Список!B25</f>
        <v>0</v>
      </c>
      <c r="AG25" t="str">
        <f>IFERROR(AVERAGE(C25:AF25),"")</f>
        <v/>
      </c>
    </row>
    <row r="26" spans="1:33" x14ac:dyDescent="0.25">
      <c r="A26">
        <f>Список!A26</f>
        <v>23</v>
      </c>
      <c r="B26">
        <f>Список!B26</f>
        <v>0</v>
      </c>
      <c r="AG26" t="str">
        <f>IFERROR(AVERAGE(C26:AF26),"")</f>
        <v/>
      </c>
    </row>
    <row r="27" spans="1:33" x14ac:dyDescent="0.25">
      <c r="A27">
        <f>Список!A27</f>
        <v>24</v>
      </c>
      <c r="B27">
        <f>Список!B27</f>
        <v>0</v>
      </c>
      <c r="AG27" t="str">
        <f>IFERROR(AVERAGE(C27:AF27),"")</f>
        <v/>
      </c>
    </row>
    <row r="28" spans="1:33" x14ac:dyDescent="0.25">
      <c r="A28">
        <f>Список!A28</f>
        <v>25</v>
      </c>
      <c r="B28">
        <f>Список!B28</f>
        <v>0</v>
      </c>
      <c r="AG28" t="str">
        <f>IFERROR(AVERAGE(C28:AF28),"")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CD74-6754-4A5C-A0C1-24F5D054197A}">
  <dimension ref="A1:O28"/>
  <sheetViews>
    <sheetView workbookViewId="0">
      <pane xSplit="2" ySplit="3" topLeftCell="C4" activePane="bottomRight" state="frozenSplit"/>
      <selection pane="topRight" activeCell="C1" sqref="C1"/>
      <selection pane="bottomLeft" activeCell="A4" sqref="A4"/>
      <selection pane="bottomRight"/>
    </sheetView>
  </sheetViews>
  <sheetFormatPr defaultRowHeight="15" x14ac:dyDescent="0.25"/>
  <cols>
    <col min="2" max="2" width="30.7109375" customWidth="1"/>
  </cols>
  <sheetData>
    <row r="1" spans="1:15" x14ac:dyDescent="0.25">
      <c r="A1" s="1" t="s">
        <v>89</v>
      </c>
    </row>
    <row r="3" spans="1:15" x14ac:dyDescent="0.25">
      <c r="A3" s="1" t="s">
        <v>15</v>
      </c>
      <c r="B3" s="1" t="s">
        <v>81</v>
      </c>
      <c r="C3" s="1" t="s">
        <v>90</v>
      </c>
      <c r="D3" s="1" t="s">
        <v>91</v>
      </c>
      <c r="E3" s="1" t="s">
        <v>92</v>
      </c>
      <c r="F3" s="1" t="s">
        <v>93</v>
      </c>
      <c r="G3" s="1" t="s">
        <v>94</v>
      </c>
      <c r="H3" s="1" t="s">
        <v>95</v>
      </c>
      <c r="I3" s="1" t="s">
        <v>96</v>
      </c>
      <c r="J3" s="1" t="s">
        <v>97</v>
      </c>
      <c r="K3" s="1" t="s">
        <v>59</v>
      </c>
      <c r="L3" s="1" t="s">
        <v>60</v>
      </c>
      <c r="M3" s="1" t="s">
        <v>61</v>
      </c>
      <c r="N3" s="1" t="s">
        <v>98</v>
      </c>
      <c r="O3" s="1" t="s">
        <v>99</v>
      </c>
    </row>
    <row r="4" spans="1:15" x14ac:dyDescent="0.25">
      <c r="A4">
        <f>Список!A4</f>
        <v>1</v>
      </c>
      <c r="B4">
        <f>Список!B4</f>
        <v>0</v>
      </c>
      <c r="C4" t="str">
        <f>Тесты!AG4</f>
        <v/>
      </c>
      <c r="D4" t="str">
        <f>Практика!AG4</f>
        <v/>
      </c>
      <c r="E4" t="str">
        <f>СРС!AG4</f>
        <v/>
      </c>
      <c r="F4" t="str">
        <f>Конспекты!AG4</f>
        <v/>
      </c>
      <c r="I4" t="str">
        <f>IFERROR(AVERAGE(G4:H4),"")</f>
        <v/>
      </c>
      <c r="J4">
        <f>0.2*N(C4)+0.35*N(D4)+0.15*N(E4)+0.05*N(F4)+0.25*N(I4)</f>
        <v>0</v>
      </c>
      <c r="K4" t="str">
        <f>IFERROR(VLOOKUP(J4,Шкала!$A$2:$F$12,2,TRUE),"")</f>
        <v>F</v>
      </c>
      <c r="L4">
        <f>IFERROR(VLOOKUP(J4,Шкала!$A$2:$F$12,3,TRUE),"")</f>
        <v>0</v>
      </c>
      <c r="M4">
        <f>IFERROR(VLOOKUP(J4,Шкала!$A$2:$F$12,4,TRUE),"")</f>
        <v>2</v>
      </c>
      <c r="N4" t="str">
        <f>IF(J4&gt;=50,"зачёт","незачёт")</f>
        <v>незачёт</v>
      </c>
      <c r="O4">
        <f>IFERROR((0.2*N(C4)+0.35*N(D4)+0.15*N(E4)+0.05*N(F4))/0.75,"")</f>
        <v>0</v>
      </c>
    </row>
    <row r="5" spans="1:15" x14ac:dyDescent="0.25">
      <c r="A5">
        <f>Список!A5</f>
        <v>2</v>
      </c>
      <c r="B5">
        <f>Список!B5</f>
        <v>0</v>
      </c>
      <c r="C5" t="str">
        <f>Тесты!AG5</f>
        <v/>
      </c>
      <c r="D5" t="str">
        <f>Практика!AG5</f>
        <v/>
      </c>
      <c r="E5" t="str">
        <f>СРС!AG5</f>
        <v/>
      </c>
      <c r="F5" t="str">
        <f>Конспекты!AG5</f>
        <v/>
      </c>
      <c r="I5" t="str">
        <f>IFERROR(AVERAGE(G5:H5),"")</f>
        <v/>
      </c>
      <c r="J5">
        <f>0.2*N(C5)+0.35*N(D5)+0.15*N(E5)+0.05*N(F5)+0.25*N(I5)</f>
        <v>0</v>
      </c>
      <c r="K5" t="str">
        <f>IFERROR(VLOOKUP(J5,Шкала!$A$2:$F$12,2,TRUE),"")</f>
        <v>F</v>
      </c>
      <c r="L5">
        <f>IFERROR(VLOOKUP(J5,Шкала!$A$2:$F$12,3,TRUE),"")</f>
        <v>0</v>
      </c>
      <c r="M5">
        <f>IFERROR(VLOOKUP(J5,Шкала!$A$2:$F$12,4,TRUE),"")</f>
        <v>2</v>
      </c>
      <c r="N5" t="str">
        <f>IF(J5&gt;=50,"зачёт","незачёт")</f>
        <v>незачёт</v>
      </c>
      <c r="O5">
        <f>IFERROR((0.2*N(C5)+0.35*N(D5)+0.15*N(E5)+0.05*N(F5))/0.75,"")</f>
        <v>0</v>
      </c>
    </row>
    <row r="6" spans="1:15" x14ac:dyDescent="0.25">
      <c r="A6">
        <f>Список!A6</f>
        <v>3</v>
      </c>
      <c r="B6">
        <f>Список!B6</f>
        <v>0</v>
      </c>
      <c r="C6" t="str">
        <f>Тесты!AG6</f>
        <v/>
      </c>
      <c r="D6" t="str">
        <f>Практика!AG6</f>
        <v/>
      </c>
      <c r="E6" t="str">
        <f>СРС!AG6</f>
        <v/>
      </c>
      <c r="F6" t="str">
        <f>Конспекты!AG6</f>
        <v/>
      </c>
      <c r="I6" t="str">
        <f>IFERROR(AVERAGE(G6:H6),"")</f>
        <v/>
      </c>
      <c r="J6">
        <f>0.2*N(C6)+0.35*N(D6)+0.15*N(E6)+0.05*N(F6)+0.25*N(I6)</f>
        <v>0</v>
      </c>
      <c r="K6" t="str">
        <f>IFERROR(VLOOKUP(J6,Шкала!$A$2:$F$12,2,TRUE),"")</f>
        <v>F</v>
      </c>
      <c r="L6">
        <f>IFERROR(VLOOKUP(J6,Шкала!$A$2:$F$12,3,TRUE),"")</f>
        <v>0</v>
      </c>
      <c r="M6">
        <f>IFERROR(VLOOKUP(J6,Шкала!$A$2:$F$12,4,TRUE),"")</f>
        <v>2</v>
      </c>
      <c r="N6" t="str">
        <f>IF(J6&gt;=50,"зачёт","незачёт")</f>
        <v>незачёт</v>
      </c>
      <c r="O6">
        <f>IFERROR((0.2*N(C6)+0.35*N(D6)+0.15*N(E6)+0.05*N(F6))/0.75,"")</f>
        <v>0</v>
      </c>
    </row>
    <row r="7" spans="1:15" x14ac:dyDescent="0.25">
      <c r="A7">
        <f>Список!A7</f>
        <v>4</v>
      </c>
      <c r="B7">
        <f>Список!B7</f>
        <v>0</v>
      </c>
      <c r="C7" t="str">
        <f>Тесты!AG7</f>
        <v/>
      </c>
      <c r="D7" t="str">
        <f>Практика!AG7</f>
        <v/>
      </c>
      <c r="E7" t="str">
        <f>СРС!AG7</f>
        <v/>
      </c>
      <c r="F7" t="str">
        <f>Конспекты!AG7</f>
        <v/>
      </c>
      <c r="I7" t="str">
        <f>IFERROR(AVERAGE(G7:H7),"")</f>
        <v/>
      </c>
      <c r="J7">
        <f>0.2*N(C7)+0.35*N(D7)+0.15*N(E7)+0.05*N(F7)+0.25*N(I7)</f>
        <v>0</v>
      </c>
      <c r="K7" t="str">
        <f>IFERROR(VLOOKUP(J7,Шкала!$A$2:$F$12,2,TRUE),"")</f>
        <v>F</v>
      </c>
      <c r="L7">
        <f>IFERROR(VLOOKUP(J7,Шкала!$A$2:$F$12,3,TRUE),"")</f>
        <v>0</v>
      </c>
      <c r="M7">
        <f>IFERROR(VLOOKUP(J7,Шкала!$A$2:$F$12,4,TRUE),"")</f>
        <v>2</v>
      </c>
      <c r="N7" t="str">
        <f>IF(J7&gt;=50,"зачёт","незачёт")</f>
        <v>незачёт</v>
      </c>
      <c r="O7">
        <f>IFERROR((0.2*N(C7)+0.35*N(D7)+0.15*N(E7)+0.05*N(F7))/0.75,"")</f>
        <v>0</v>
      </c>
    </row>
    <row r="8" spans="1:15" x14ac:dyDescent="0.25">
      <c r="A8">
        <f>Список!A8</f>
        <v>5</v>
      </c>
      <c r="B8">
        <f>Список!B8</f>
        <v>0</v>
      </c>
      <c r="C8" t="str">
        <f>Тесты!AG8</f>
        <v/>
      </c>
      <c r="D8" t="str">
        <f>Практика!AG8</f>
        <v/>
      </c>
      <c r="E8" t="str">
        <f>СРС!AG8</f>
        <v/>
      </c>
      <c r="F8" t="str">
        <f>Конспекты!AG8</f>
        <v/>
      </c>
      <c r="I8" t="str">
        <f>IFERROR(AVERAGE(G8:H8),"")</f>
        <v/>
      </c>
      <c r="J8">
        <f>0.2*N(C8)+0.35*N(D8)+0.15*N(E8)+0.05*N(F8)+0.25*N(I8)</f>
        <v>0</v>
      </c>
      <c r="K8" t="str">
        <f>IFERROR(VLOOKUP(J8,Шкала!$A$2:$F$12,2,TRUE),"")</f>
        <v>F</v>
      </c>
      <c r="L8">
        <f>IFERROR(VLOOKUP(J8,Шкала!$A$2:$F$12,3,TRUE),"")</f>
        <v>0</v>
      </c>
      <c r="M8">
        <f>IFERROR(VLOOKUP(J8,Шкала!$A$2:$F$12,4,TRUE),"")</f>
        <v>2</v>
      </c>
      <c r="N8" t="str">
        <f>IF(J8&gt;=50,"зачёт","незачёт")</f>
        <v>незачёт</v>
      </c>
      <c r="O8">
        <f>IFERROR((0.2*N(C8)+0.35*N(D8)+0.15*N(E8)+0.05*N(F8))/0.75,"")</f>
        <v>0</v>
      </c>
    </row>
    <row r="9" spans="1:15" x14ac:dyDescent="0.25">
      <c r="A9">
        <f>Список!A9</f>
        <v>6</v>
      </c>
      <c r="B9">
        <f>Список!B9</f>
        <v>0</v>
      </c>
      <c r="C9" t="str">
        <f>Тесты!AG9</f>
        <v/>
      </c>
      <c r="D9" t="str">
        <f>Практика!AG9</f>
        <v/>
      </c>
      <c r="E9" t="str">
        <f>СРС!AG9</f>
        <v/>
      </c>
      <c r="F9" t="str">
        <f>Конспекты!AG9</f>
        <v/>
      </c>
      <c r="I9" t="str">
        <f>IFERROR(AVERAGE(G9:H9),"")</f>
        <v/>
      </c>
      <c r="J9">
        <f>0.2*N(C9)+0.35*N(D9)+0.15*N(E9)+0.05*N(F9)+0.25*N(I9)</f>
        <v>0</v>
      </c>
      <c r="K9" t="str">
        <f>IFERROR(VLOOKUP(J9,Шкала!$A$2:$F$12,2,TRUE),"")</f>
        <v>F</v>
      </c>
      <c r="L9">
        <f>IFERROR(VLOOKUP(J9,Шкала!$A$2:$F$12,3,TRUE),"")</f>
        <v>0</v>
      </c>
      <c r="M9">
        <f>IFERROR(VLOOKUP(J9,Шкала!$A$2:$F$12,4,TRUE),"")</f>
        <v>2</v>
      </c>
      <c r="N9" t="str">
        <f>IF(J9&gt;=50,"зачёт","незачёт")</f>
        <v>незачёт</v>
      </c>
      <c r="O9">
        <f>IFERROR((0.2*N(C9)+0.35*N(D9)+0.15*N(E9)+0.05*N(F9))/0.75,"")</f>
        <v>0</v>
      </c>
    </row>
    <row r="10" spans="1:15" x14ac:dyDescent="0.25">
      <c r="A10">
        <f>Список!A10</f>
        <v>7</v>
      </c>
      <c r="B10">
        <f>Список!B10</f>
        <v>0</v>
      </c>
      <c r="C10" t="str">
        <f>Тесты!AG10</f>
        <v/>
      </c>
      <c r="D10" t="str">
        <f>Практика!AG10</f>
        <v/>
      </c>
      <c r="E10" t="str">
        <f>СРС!AG10</f>
        <v/>
      </c>
      <c r="F10" t="str">
        <f>Конспекты!AG10</f>
        <v/>
      </c>
      <c r="I10" t="str">
        <f>IFERROR(AVERAGE(G10:H10),"")</f>
        <v/>
      </c>
      <c r="J10">
        <f>0.2*N(C10)+0.35*N(D10)+0.15*N(E10)+0.05*N(F10)+0.25*N(I10)</f>
        <v>0</v>
      </c>
      <c r="K10" t="str">
        <f>IFERROR(VLOOKUP(J10,Шкала!$A$2:$F$12,2,TRUE),"")</f>
        <v>F</v>
      </c>
      <c r="L10">
        <f>IFERROR(VLOOKUP(J10,Шкала!$A$2:$F$12,3,TRUE),"")</f>
        <v>0</v>
      </c>
      <c r="M10">
        <f>IFERROR(VLOOKUP(J10,Шкала!$A$2:$F$12,4,TRUE),"")</f>
        <v>2</v>
      </c>
      <c r="N10" t="str">
        <f>IF(J10&gt;=50,"зачёт","незачёт")</f>
        <v>незачёт</v>
      </c>
      <c r="O10">
        <f>IFERROR((0.2*N(C10)+0.35*N(D10)+0.15*N(E10)+0.05*N(F10))/0.75,"")</f>
        <v>0</v>
      </c>
    </row>
    <row r="11" spans="1:15" x14ac:dyDescent="0.25">
      <c r="A11">
        <f>Список!A11</f>
        <v>8</v>
      </c>
      <c r="B11">
        <f>Список!B11</f>
        <v>0</v>
      </c>
      <c r="C11" t="str">
        <f>Тесты!AG11</f>
        <v/>
      </c>
      <c r="D11" t="str">
        <f>Практика!AG11</f>
        <v/>
      </c>
      <c r="E11" t="str">
        <f>СРС!AG11</f>
        <v/>
      </c>
      <c r="F11" t="str">
        <f>Конспекты!AG11</f>
        <v/>
      </c>
      <c r="I11" t="str">
        <f>IFERROR(AVERAGE(G11:H11),"")</f>
        <v/>
      </c>
      <c r="J11">
        <f>0.2*N(C11)+0.35*N(D11)+0.15*N(E11)+0.05*N(F11)+0.25*N(I11)</f>
        <v>0</v>
      </c>
      <c r="K11" t="str">
        <f>IFERROR(VLOOKUP(J11,Шкала!$A$2:$F$12,2,TRUE),"")</f>
        <v>F</v>
      </c>
      <c r="L11">
        <f>IFERROR(VLOOKUP(J11,Шкала!$A$2:$F$12,3,TRUE),"")</f>
        <v>0</v>
      </c>
      <c r="M11">
        <f>IFERROR(VLOOKUP(J11,Шкала!$A$2:$F$12,4,TRUE),"")</f>
        <v>2</v>
      </c>
      <c r="N11" t="str">
        <f>IF(J11&gt;=50,"зачёт","незачёт")</f>
        <v>незачёт</v>
      </c>
      <c r="O11">
        <f>IFERROR((0.2*N(C11)+0.35*N(D11)+0.15*N(E11)+0.05*N(F11))/0.75,"")</f>
        <v>0</v>
      </c>
    </row>
    <row r="12" spans="1:15" x14ac:dyDescent="0.25">
      <c r="A12">
        <f>Список!A12</f>
        <v>9</v>
      </c>
      <c r="B12">
        <f>Список!B12</f>
        <v>0</v>
      </c>
      <c r="C12" t="str">
        <f>Тесты!AG12</f>
        <v/>
      </c>
      <c r="D12" t="str">
        <f>Практика!AG12</f>
        <v/>
      </c>
      <c r="E12" t="str">
        <f>СРС!AG12</f>
        <v/>
      </c>
      <c r="F12" t="str">
        <f>Конспекты!AG12</f>
        <v/>
      </c>
      <c r="I12" t="str">
        <f>IFERROR(AVERAGE(G12:H12),"")</f>
        <v/>
      </c>
      <c r="J12">
        <f>0.2*N(C12)+0.35*N(D12)+0.15*N(E12)+0.05*N(F12)+0.25*N(I12)</f>
        <v>0</v>
      </c>
      <c r="K12" t="str">
        <f>IFERROR(VLOOKUP(J12,Шкала!$A$2:$F$12,2,TRUE),"")</f>
        <v>F</v>
      </c>
      <c r="L12">
        <f>IFERROR(VLOOKUP(J12,Шкала!$A$2:$F$12,3,TRUE),"")</f>
        <v>0</v>
      </c>
      <c r="M12">
        <f>IFERROR(VLOOKUP(J12,Шкала!$A$2:$F$12,4,TRUE),"")</f>
        <v>2</v>
      </c>
      <c r="N12" t="str">
        <f>IF(J12&gt;=50,"зачёт","незачёт")</f>
        <v>незачёт</v>
      </c>
      <c r="O12">
        <f>IFERROR((0.2*N(C12)+0.35*N(D12)+0.15*N(E12)+0.05*N(F12))/0.75,"")</f>
        <v>0</v>
      </c>
    </row>
    <row r="13" spans="1:15" x14ac:dyDescent="0.25">
      <c r="A13">
        <f>Список!A13</f>
        <v>10</v>
      </c>
      <c r="B13">
        <f>Список!B13</f>
        <v>0</v>
      </c>
      <c r="C13" t="str">
        <f>Тесты!AG13</f>
        <v/>
      </c>
      <c r="D13" t="str">
        <f>Практика!AG13</f>
        <v/>
      </c>
      <c r="E13" t="str">
        <f>СРС!AG13</f>
        <v/>
      </c>
      <c r="F13" t="str">
        <f>Конспекты!AG13</f>
        <v/>
      </c>
      <c r="I13" t="str">
        <f>IFERROR(AVERAGE(G13:H13),"")</f>
        <v/>
      </c>
      <c r="J13">
        <f>0.2*N(C13)+0.35*N(D13)+0.15*N(E13)+0.05*N(F13)+0.25*N(I13)</f>
        <v>0</v>
      </c>
      <c r="K13" t="str">
        <f>IFERROR(VLOOKUP(J13,Шкала!$A$2:$F$12,2,TRUE),"")</f>
        <v>F</v>
      </c>
      <c r="L13">
        <f>IFERROR(VLOOKUP(J13,Шкала!$A$2:$F$12,3,TRUE),"")</f>
        <v>0</v>
      </c>
      <c r="M13">
        <f>IFERROR(VLOOKUP(J13,Шкала!$A$2:$F$12,4,TRUE),"")</f>
        <v>2</v>
      </c>
      <c r="N13" t="str">
        <f>IF(J13&gt;=50,"зачёт","незачёт")</f>
        <v>незачёт</v>
      </c>
      <c r="O13">
        <f>IFERROR((0.2*N(C13)+0.35*N(D13)+0.15*N(E13)+0.05*N(F13))/0.75,"")</f>
        <v>0</v>
      </c>
    </row>
    <row r="14" spans="1:15" x14ac:dyDescent="0.25">
      <c r="A14">
        <f>Список!A14</f>
        <v>11</v>
      </c>
      <c r="B14">
        <f>Список!B14</f>
        <v>0</v>
      </c>
      <c r="C14" t="str">
        <f>Тесты!AG14</f>
        <v/>
      </c>
      <c r="D14" t="str">
        <f>Практика!AG14</f>
        <v/>
      </c>
      <c r="E14" t="str">
        <f>СРС!AG14</f>
        <v/>
      </c>
      <c r="F14" t="str">
        <f>Конспекты!AG14</f>
        <v/>
      </c>
      <c r="I14" t="str">
        <f>IFERROR(AVERAGE(G14:H14),"")</f>
        <v/>
      </c>
      <c r="J14">
        <f>0.2*N(C14)+0.35*N(D14)+0.15*N(E14)+0.05*N(F14)+0.25*N(I14)</f>
        <v>0</v>
      </c>
      <c r="K14" t="str">
        <f>IFERROR(VLOOKUP(J14,Шкала!$A$2:$F$12,2,TRUE),"")</f>
        <v>F</v>
      </c>
      <c r="L14">
        <f>IFERROR(VLOOKUP(J14,Шкала!$A$2:$F$12,3,TRUE),"")</f>
        <v>0</v>
      </c>
      <c r="M14">
        <f>IFERROR(VLOOKUP(J14,Шкала!$A$2:$F$12,4,TRUE),"")</f>
        <v>2</v>
      </c>
      <c r="N14" t="str">
        <f>IF(J14&gt;=50,"зачёт","незачёт")</f>
        <v>незачёт</v>
      </c>
      <c r="O14">
        <f>IFERROR((0.2*N(C14)+0.35*N(D14)+0.15*N(E14)+0.05*N(F14))/0.75,"")</f>
        <v>0</v>
      </c>
    </row>
    <row r="15" spans="1:15" x14ac:dyDescent="0.25">
      <c r="A15">
        <f>Список!A15</f>
        <v>12</v>
      </c>
      <c r="B15">
        <f>Список!B15</f>
        <v>0</v>
      </c>
      <c r="C15" t="str">
        <f>Тесты!AG15</f>
        <v/>
      </c>
      <c r="D15" t="str">
        <f>Практика!AG15</f>
        <v/>
      </c>
      <c r="E15" t="str">
        <f>СРС!AG15</f>
        <v/>
      </c>
      <c r="F15" t="str">
        <f>Конспекты!AG15</f>
        <v/>
      </c>
      <c r="I15" t="str">
        <f>IFERROR(AVERAGE(G15:H15),"")</f>
        <v/>
      </c>
      <c r="J15">
        <f>0.2*N(C15)+0.35*N(D15)+0.15*N(E15)+0.05*N(F15)+0.25*N(I15)</f>
        <v>0</v>
      </c>
      <c r="K15" t="str">
        <f>IFERROR(VLOOKUP(J15,Шкала!$A$2:$F$12,2,TRUE),"")</f>
        <v>F</v>
      </c>
      <c r="L15">
        <f>IFERROR(VLOOKUP(J15,Шкала!$A$2:$F$12,3,TRUE),"")</f>
        <v>0</v>
      </c>
      <c r="M15">
        <f>IFERROR(VLOOKUP(J15,Шкала!$A$2:$F$12,4,TRUE),"")</f>
        <v>2</v>
      </c>
      <c r="N15" t="str">
        <f>IF(J15&gt;=50,"зачёт","незачёт")</f>
        <v>незачёт</v>
      </c>
      <c r="O15">
        <f>IFERROR((0.2*N(C15)+0.35*N(D15)+0.15*N(E15)+0.05*N(F15))/0.75,"")</f>
        <v>0</v>
      </c>
    </row>
    <row r="16" spans="1:15" x14ac:dyDescent="0.25">
      <c r="A16">
        <f>Список!A16</f>
        <v>13</v>
      </c>
      <c r="B16">
        <f>Список!B16</f>
        <v>0</v>
      </c>
      <c r="C16" t="str">
        <f>Тесты!AG16</f>
        <v/>
      </c>
      <c r="D16" t="str">
        <f>Практика!AG16</f>
        <v/>
      </c>
      <c r="E16" t="str">
        <f>СРС!AG16</f>
        <v/>
      </c>
      <c r="F16" t="str">
        <f>Конспекты!AG16</f>
        <v/>
      </c>
      <c r="I16" t="str">
        <f>IFERROR(AVERAGE(G16:H16),"")</f>
        <v/>
      </c>
      <c r="J16">
        <f>0.2*N(C16)+0.35*N(D16)+0.15*N(E16)+0.05*N(F16)+0.25*N(I16)</f>
        <v>0</v>
      </c>
      <c r="K16" t="str">
        <f>IFERROR(VLOOKUP(J16,Шкала!$A$2:$F$12,2,TRUE),"")</f>
        <v>F</v>
      </c>
      <c r="L16">
        <f>IFERROR(VLOOKUP(J16,Шкала!$A$2:$F$12,3,TRUE),"")</f>
        <v>0</v>
      </c>
      <c r="M16">
        <f>IFERROR(VLOOKUP(J16,Шкала!$A$2:$F$12,4,TRUE),"")</f>
        <v>2</v>
      </c>
      <c r="N16" t="str">
        <f>IF(J16&gt;=50,"зачёт","незачёт")</f>
        <v>незачёт</v>
      </c>
      <c r="O16">
        <f>IFERROR((0.2*N(C16)+0.35*N(D16)+0.15*N(E16)+0.05*N(F16))/0.75,"")</f>
        <v>0</v>
      </c>
    </row>
    <row r="17" spans="1:15" x14ac:dyDescent="0.25">
      <c r="A17">
        <f>Список!A17</f>
        <v>14</v>
      </c>
      <c r="B17">
        <f>Список!B17</f>
        <v>0</v>
      </c>
      <c r="C17" t="str">
        <f>Тесты!AG17</f>
        <v/>
      </c>
      <c r="D17" t="str">
        <f>Практика!AG17</f>
        <v/>
      </c>
      <c r="E17" t="str">
        <f>СРС!AG17</f>
        <v/>
      </c>
      <c r="F17" t="str">
        <f>Конспекты!AG17</f>
        <v/>
      </c>
      <c r="I17" t="str">
        <f>IFERROR(AVERAGE(G17:H17),"")</f>
        <v/>
      </c>
      <c r="J17">
        <f>0.2*N(C17)+0.35*N(D17)+0.15*N(E17)+0.05*N(F17)+0.25*N(I17)</f>
        <v>0</v>
      </c>
      <c r="K17" t="str">
        <f>IFERROR(VLOOKUP(J17,Шкала!$A$2:$F$12,2,TRUE),"")</f>
        <v>F</v>
      </c>
      <c r="L17">
        <f>IFERROR(VLOOKUP(J17,Шкала!$A$2:$F$12,3,TRUE),"")</f>
        <v>0</v>
      </c>
      <c r="M17">
        <f>IFERROR(VLOOKUP(J17,Шкала!$A$2:$F$12,4,TRUE),"")</f>
        <v>2</v>
      </c>
      <c r="N17" t="str">
        <f>IF(J17&gt;=50,"зачёт","незачёт")</f>
        <v>незачёт</v>
      </c>
      <c r="O17">
        <f>IFERROR((0.2*N(C17)+0.35*N(D17)+0.15*N(E17)+0.05*N(F17))/0.75,"")</f>
        <v>0</v>
      </c>
    </row>
    <row r="18" spans="1:15" x14ac:dyDescent="0.25">
      <c r="A18">
        <f>Список!A18</f>
        <v>15</v>
      </c>
      <c r="B18">
        <f>Список!B18</f>
        <v>0</v>
      </c>
      <c r="C18" t="str">
        <f>Тесты!AG18</f>
        <v/>
      </c>
      <c r="D18" t="str">
        <f>Практика!AG18</f>
        <v/>
      </c>
      <c r="E18" t="str">
        <f>СРС!AG18</f>
        <v/>
      </c>
      <c r="F18" t="str">
        <f>Конспекты!AG18</f>
        <v/>
      </c>
      <c r="I18" t="str">
        <f>IFERROR(AVERAGE(G18:H18),"")</f>
        <v/>
      </c>
      <c r="J18">
        <f>0.2*N(C18)+0.35*N(D18)+0.15*N(E18)+0.05*N(F18)+0.25*N(I18)</f>
        <v>0</v>
      </c>
      <c r="K18" t="str">
        <f>IFERROR(VLOOKUP(J18,Шкала!$A$2:$F$12,2,TRUE),"")</f>
        <v>F</v>
      </c>
      <c r="L18">
        <f>IFERROR(VLOOKUP(J18,Шкала!$A$2:$F$12,3,TRUE),"")</f>
        <v>0</v>
      </c>
      <c r="M18">
        <f>IFERROR(VLOOKUP(J18,Шкала!$A$2:$F$12,4,TRUE),"")</f>
        <v>2</v>
      </c>
      <c r="N18" t="str">
        <f>IF(J18&gt;=50,"зачёт","незачёт")</f>
        <v>незачёт</v>
      </c>
      <c r="O18">
        <f>IFERROR((0.2*N(C18)+0.35*N(D18)+0.15*N(E18)+0.05*N(F18))/0.75,"")</f>
        <v>0</v>
      </c>
    </row>
    <row r="19" spans="1:15" x14ac:dyDescent="0.25">
      <c r="A19">
        <f>Список!A19</f>
        <v>16</v>
      </c>
      <c r="B19">
        <f>Список!B19</f>
        <v>0</v>
      </c>
      <c r="C19" t="str">
        <f>Тесты!AG19</f>
        <v/>
      </c>
      <c r="D19" t="str">
        <f>Практика!AG19</f>
        <v/>
      </c>
      <c r="E19" t="str">
        <f>СРС!AG19</f>
        <v/>
      </c>
      <c r="F19" t="str">
        <f>Конспекты!AG19</f>
        <v/>
      </c>
      <c r="I19" t="str">
        <f>IFERROR(AVERAGE(G19:H19),"")</f>
        <v/>
      </c>
      <c r="J19">
        <f>0.2*N(C19)+0.35*N(D19)+0.15*N(E19)+0.05*N(F19)+0.25*N(I19)</f>
        <v>0</v>
      </c>
      <c r="K19" t="str">
        <f>IFERROR(VLOOKUP(J19,Шкала!$A$2:$F$12,2,TRUE),"")</f>
        <v>F</v>
      </c>
      <c r="L19">
        <f>IFERROR(VLOOKUP(J19,Шкала!$A$2:$F$12,3,TRUE),"")</f>
        <v>0</v>
      </c>
      <c r="M19">
        <f>IFERROR(VLOOKUP(J19,Шкала!$A$2:$F$12,4,TRUE),"")</f>
        <v>2</v>
      </c>
      <c r="N19" t="str">
        <f>IF(J19&gt;=50,"зачёт","незачёт")</f>
        <v>незачёт</v>
      </c>
      <c r="O19">
        <f>IFERROR((0.2*N(C19)+0.35*N(D19)+0.15*N(E19)+0.05*N(F19))/0.75,"")</f>
        <v>0</v>
      </c>
    </row>
    <row r="20" spans="1:15" x14ac:dyDescent="0.25">
      <c r="A20">
        <f>Список!A20</f>
        <v>17</v>
      </c>
      <c r="B20">
        <f>Список!B20</f>
        <v>0</v>
      </c>
      <c r="C20" t="str">
        <f>Тесты!AG20</f>
        <v/>
      </c>
      <c r="D20" t="str">
        <f>Практика!AG20</f>
        <v/>
      </c>
      <c r="E20" t="str">
        <f>СРС!AG20</f>
        <v/>
      </c>
      <c r="F20" t="str">
        <f>Конспекты!AG20</f>
        <v/>
      </c>
      <c r="I20" t="str">
        <f>IFERROR(AVERAGE(G20:H20),"")</f>
        <v/>
      </c>
      <c r="J20">
        <f>0.2*N(C20)+0.35*N(D20)+0.15*N(E20)+0.05*N(F20)+0.25*N(I20)</f>
        <v>0</v>
      </c>
      <c r="K20" t="str">
        <f>IFERROR(VLOOKUP(J20,Шкала!$A$2:$F$12,2,TRUE),"")</f>
        <v>F</v>
      </c>
      <c r="L20">
        <f>IFERROR(VLOOKUP(J20,Шкала!$A$2:$F$12,3,TRUE),"")</f>
        <v>0</v>
      </c>
      <c r="M20">
        <f>IFERROR(VLOOKUP(J20,Шкала!$A$2:$F$12,4,TRUE),"")</f>
        <v>2</v>
      </c>
      <c r="N20" t="str">
        <f>IF(J20&gt;=50,"зачёт","незачёт")</f>
        <v>незачёт</v>
      </c>
      <c r="O20">
        <f>IFERROR((0.2*N(C20)+0.35*N(D20)+0.15*N(E20)+0.05*N(F20))/0.75,"")</f>
        <v>0</v>
      </c>
    </row>
    <row r="21" spans="1:15" x14ac:dyDescent="0.25">
      <c r="A21">
        <f>Список!A21</f>
        <v>18</v>
      </c>
      <c r="B21">
        <f>Список!B21</f>
        <v>0</v>
      </c>
      <c r="C21" t="str">
        <f>Тесты!AG21</f>
        <v/>
      </c>
      <c r="D21" t="str">
        <f>Практика!AG21</f>
        <v/>
      </c>
      <c r="E21" t="str">
        <f>СРС!AG21</f>
        <v/>
      </c>
      <c r="F21" t="str">
        <f>Конспекты!AG21</f>
        <v/>
      </c>
      <c r="I21" t="str">
        <f>IFERROR(AVERAGE(G21:H21),"")</f>
        <v/>
      </c>
      <c r="J21">
        <f>0.2*N(C21)+0.35*N(D21)+0.15*N(E21)+0.05*N(F21)+0.25*N(I21)</f>
        <v>0</v>
      </c>
      <c r="K21" t="str">
        <f>IFERROR(VLOOKUP(J21,Шкала!$A$2:$F$12,2,TRUE),"")</f>
        <v>F</v>
      </c>
      <c r="L21">
        <f>IFERROR(VLOOKUP(J21,Шкала!$A$2:$F$12,3,TRUE),"")</f>
        <v>0</v>
      </c>
      <c r="M21">
        <f>IFERROR(VLOOKUP(J21,Шкала!$A$2:$F$12,4,TRUE),"")</f>
        <v>2</v>
      </c>
      <c r="N21" t="str">
        <f>IF(J21&gt;=50,"зачёт","незачёт")</f>
        <v>незачёт</v>
      </c>
      <c r="O21">
        <f>IFERROR((0.2*N(C21)+0.35*N(D21)+0.15*N(E21)+0.05*N(F21))/0.75,"")</f>
        <v>0</v>
      </c>
    </row>
    <row r="22" spans="1:15" x14ac:dyDescent="0.25">
      <c r="A22">
        <f>Список!A22</f>
        <v>19</v>
      </c>
      <c r="B22">
        <f>Список!B22</f>
        <v>0</v>
      </c>
      <c r="C22" t="str">
        <f>Тесты!AG22</f>
        <v/>
      </c>
      <c r="D22" t="str">
        <f>Практика!AG22</f>
        <v/>
      </c>
      <c r="E22" t="str">
        <f>СРС!AG22</f>
        <v/>
      </c>
      <c r="F22" t="str">
        <f>Конспекты!AG22</f>
        <v/>
      </c>
      <c r="I22" t="str">
        <f>IFERROR(AVERAGE(G22:H22),"")</f>
        <v/>
      </c>
      <c r="J22">
        <f>0.2*N(C22)+0.35*N(D22)+0.15*N(E22)+0.05*N(F22)+0.25*N(I22)</f>
        <v>0</v>
      </c>
      <c r="K22" t="str">
        <f>IFERROR(VLOOKUP(J22,Шкала!$A$2:$F$12,2,TRUE),"")</f>
        <v>F</v>
      </c>
      <c r="L22">
        <f>IFERROR(VLOOKUP(J22,Шкала!$A$2:$F$12,3,TRUE),"")</f>
        <v>0</v>
      </c>
      <c r="M22">
        <f>IFERROR(VLOOKUP(J22,Шкала!$A$2:$F$12,4,TRUE),"")</f>
        <v>2</v>
      </c>
      <c r="N22" t="str">
        <f>IF(J22&gt;=50,"зачёт","незачёт")</f>
        <v>незачёт</v>
      </c>
      <c r="O22">
        <f>IFERROR((0.2*N(C22)+0.35*N(D22)+0.15*N(E22)+0.05*N(F22))/0.75,"")</f>
        <v>0</v>
      </c>
    </row>
    <row r="23" spans="1:15" x14ac:dyDescent="0.25">
      <c r="A23">
        <f>Список!A23</f>
        <v>20</v>
      </c>
      <c r="B23">
        <f>Список!B23</f>
        <v>0</v>
      </c>
      <c r="C23" t="str">
        <f>Тесты!AG23</f>
        <v/>
      </c>
      <c r="D23" t="str">
        <f>Практика!AG23</f>
        <v/>
      </c>
      <c r="E23" t="str">
        <f>СРС!AG23</f>
        <v/>
      </c>
      <c r="F23" t="str">
        <f>Конспекты!AG23</f>
        <v/>
      </c>
      <c r="I23" t="str">
        <f>IFERROR(AVERAGE(G23:H23),"")</f>
        <v/>
      </c>
      <c r="J23">
        <f>0.2*N(C23)+0.35*N(D23)+0.15*N(E23)+0.05*N(F23)+0.25*N(I23)</f>
        <v>0</v>
      </c>
      <c r="K23" t="str">
        <f>IFERROR(VLOOKUP(J23,Шкала!$A$2:$F$12,2,TRUE),"")</f>
        <v>F</v>
      </c>
      <c r="L23">
        <f>IFERROR(VLOOKUP(J23,Шкала!$A$2:$F$12,3,TRUE),"")</f>
        <v>0</v>
      </c>
      <c r="M23">
        <f>IFERROR(VLOOKUP(J23,Шкала!$A$2:$F$12,4,TRUE),"")</f>
        <v>2</v>
      </c>
      <c r="N23" t="str">
        <f>IF(J23&gt;=50,"зачёт","незачёт")</f>
        <v>незачёт</v>
      </c>
      <c r="O23">
        <f>IFERROR((0.2*N(C23)+0.35*N(D23)+0.15*N(E23)+0.05*N(F23))/0.75,"")</f>
        <v>0</v>
      </c>
    </row>
    <row r="24" spans="1:15" x14ac:dyDescent="0.25">
      <c r="A24">
        <f>Список!A24</f>
        <v>21</v>
      </c>
      <c r="B24">
        <f>Список!B24</f>
        <v>0</v>
      </c>
      <c r="C24" t="str">
        <f>Тесты!AG24</f>
        <v/>
      </c>
      <c r="D24" t="str">
        <f>Практика!AG24</f>
        <v/>
      </c>
      <c r="E24" t="str">
        <f>СРС!AG24</f>
        <v/>
      </c>
      <c r="F24" t="str">
        <f>Конспекты!AG24</f>
        <v/>
      </c>
      <c r="I24" t="str">
        <f>IFERROR(AVERAGE(G24:H24),"")</f>
        <v/>
      </c>
      <c r="J24">
        <f>0.2*N(C24)+0.35*N(D24)+0.15*N(E24)+0.05*N(F24)+0.25*N(I24)</f>
        <v>0</v>
      </c>
      <c r="K24" t="str">
        <f>IFERROR(VLOOKUP(J24,Шкала!$A$2:$F$12,2,TRUE),"")</f>
        <v>F</v>
      </c>
      <c r="L24">
        <f>IFERROR(VLOOKUP(J24,Шкала!$A$2:$F$12,3,TRUE),"")</f>
        <v>0</v>
      </c>
      <c r="M24">
        <f>IFERROR(VLOOKUP(J24,Шкала!$A$2:$F$12,4,TRUE),"")</f>
        <v>2</v>
      </c>
      <c r="N24" t="str">
        <f>IF(J24&gt;=50,"зачёт","незачёт")</f>
        <v>незачёт</v>
      </c>
      <c r="O24">
        <f>IFERROR((0.2*N(C24)+0.35*N(D24)+0.15*N(E24)+0.05*N(F24))/0.75,"")</f>
        <v>0</v>
      </c>
    </row>
    <row r="25" spans="1:15" x14ac:dyDescent="0.25">
      <c r="A25">
        <f>Список!A25</f>
        <v>22</v>
      </c>
      <c r="B25">
        <f>Список!B25</f>
        <v>0</v>
      </c>
      <c r="C25" t="str">
        <f>Тесты!AG25</f>
        <v/>
      </c>
      <c r="D25" t="str">
        <f>Практика!AG25</f>
        <v/>
      </c>
      <c r="E25" t="str">
        <f>СРС!AG25</f>
        <v/>
      </c>
      <c r="F25" t="str">
        <f>Конспекты!AG25</f>
        <v/>
      </c>
      <c r="I25" t="str">
        <f>IFERROR(AVERAGE(G25:H25),"")</f>
        <v/>
      </c>
      <c r="J25">
        <f>0.2*N(C25)+0.35*N(D25)+0.15*N(E25)+0.05*N(F25)+0.25*N(I25)</f>
        <v>0</v>
      </c>
      <c r="K25" t="str">
        <f>IFERROR(VLOOKUP(J25,Шкала!$A$2:$F$12,2,TRUE),"")</f>
        <v>F</v>
      </c>
      <c r="L25">
        <f>IFERROR(VLOOKUP(J25,Шкала!$A$2:$F$12,3,TRUE),"")</f>
        <v>0</v>
      </c>
      <c r="M25">
        <f>IFERROR(VLOOKUP(J25,Шкала!$A$2:$F$12,4,TRUE),"")</f>
        <v>2</v>
      </c>
      <c r="N25" t="str">
        <f>IF(J25&gt;=50,"зачёт","незачёт")</f>
        <v>незачёт</v>
      </c>
      <c r="O25">
        <f>IFERROR((0.2*N(C25)+0.35*N(D25)+0.15*N(E25)+0.05*N(F25))/0.75,"")</f>
        <v>0</v>
      </c>
    </row>
    <row r="26" spans="1:15" x14ac:dyDescent="0.25">
      <c r="A26">
        <f>Список!A26</f>
        <v>23</v>
      </c>
      <c r="B26">
        <f>Список!B26</f>
        <v>0</v>
      </c>
      <c r="C26" t="str">
        <f>Тесты!AG26</f>
        <v/>
      </c>
      <c r="D26" t="str">
        <f>Практика!AG26</f>
        <v/>
      </c>
      <c r="E26" t="str">
        <f>СРС!AG26</f>
        <v/>
      </c>
      <c r="F26" t="str">
        <f>Конспекты!AG26</f>
        <v/>
      </c>
      <c r="I26" t="str">
        <f>IFERROR(AVERAGE(G26:H26),"")</f>
        <v/>
      </c>
      <c r="J26">
        <f>0.2*N(C26)+0.35*N(D26)+0.15*N(E26)+0.05*N(F26)+0.25*N(I26)</f>
        <v>0</v>
      </c>
      <c r="K26" t="str">
        <f>IFERROR(VLOOKUP(J26,Шкала!$A$2:$F$12,2,TRUE),"")</f>
        <v>F</v>
      </c>
      <c r="L26">
        <f>IFERROR(VLOOKUP(J26,Шкала!$A$2:$F$12,3,TRUE),"")</f>
        <v>0</v>
      </c>
      <c r="M26">
        <f>IFERROR(VLOOKUP(J26,Шкала!$A$2:$F$12,4,TRUE),"")</f>
        <v>2</v>
      </c>
      <c r="N26" t="str">
        <f>IF(J26&gt;=50,"зачёт","незачёт")</f>
        <v>незачёт</v>
      </c>
      <c r="O26">
        <f>IFERROR((0.2*N(C26)+0.35*N(D26)+0.15*N(E26)+0.05*N(F26))/0.75,"")</f>
        <v>0</v>
      </c>
    </row>
    <row r="27" spans="1:15" x14ac:dyDescent="0.25">
      <c r="A27">
        <f>Список!A27</f>
        <v>24</v>
      </c>
      <c r="B27">
        <f>Список!B27</f>
        <v>0</v>
      </c>
      <c r="C27" t="str">
        <f>Тесты!AG27</f>
        <v/>
      </c>
      <c r="D27" t="str">
        <f>Практика!AG27</f>
        <v/>
      </c>
      <c r="E27" t="str">
        <f>СРС!AG27</f>
        <v/>
      </c>
      <c r="F27" t="str">
        <f>Конспекты!AG27</f>
        <v/>
      </c>
      <c r="I27" t="str">
        <f>IFERROR(AVERAGE(G27:H27),"")</f>
        <v/>
      </c>
      <c r="J27">
        <f>0.2*N(C27)+0.35*N(D27)+0.15*N(E27)+0.05*N(F27)+0.25*N(I27)</f>
        <v>0</v>
      </c>
      <c r="K27" t="str">
        <f>IFERROR(VLOOKUP(J27,Шкала!$A$2:$F$12,2,TRUE),"")</f>
        <v>F</v>
      </c>
      <c r="L27">
        <f>IFERROR(VLOOKUP(J27,Шкала!$A$2:$F$12,3,TRUE),"")</f>
        <v>0</v>
      </c>
      <c r="M27">
        <f>IFERROR(VLOOKUP(J27,Шкала!$A$2:$F$12,4,TRUE),"")</f>
        <v>2</v>
      </c>
      <c r="N27" t="str">
        <f>IF(J27&gt;=50,"зачёт","незачёт")</f>
        <v>незачёт</v>
      </c>
      <c r="O27">
        <f>IFERROR((0.2*N(C27)+0.35*N(D27)+0.15*N(E27)+0.05*N(F27))/0.75,"")</f>
        <v>0</v>
      </c>
    </row>
    <row r="28" spans="1:15" x14ac:dyDescent="0.25">
      <c r="A28">
        <f>Список!A28</f>
        <v>25</v>
      </c>
      <c r="B28">
        <f>Список!B28</f>
        <v>0</v>
      </c>
      <c r="C28" t="str">
        <f>Тесты!AG28</f>
        <v/>
      </c>
      <c r="D28" t="str">
        <f>Практика!AG28</f>
        <v/>
      </c>
      <c r="E28" t="str">
        <f>СРС!AG28</f>
        <v/>
      </c>
      <c r="F28" t="str">
        <f>Конспекты!AG28</f>
        <v/>
      </c>
      <c r="I28" t="str">
        <f>IFERROR(AVERAGE(G28:H28),"")</f>
        <v/>
      </c>
      <c r="J28">
        <f>0.2*N(C28)+0.35*N(D28)+0.15*N(E28)+0.05*N(F28)+0.25*N(I28)</f>
        <v>0</v>
      </c>
      <c r="K28" t="str">
        <f>IFERROR(VLOOKUP(J28,Шкала!$A$2:$F$12,2,TRUE),"")</f>
        <v>F</v>
      </c>
      <c r="L28">
        <f>IFERROR(VLOOKUP(J28,Шкала!$A$2:$F$12,3,TRUE),"")</f>
        <v>0</v>
      </c>
      <c r="M28">
        <f>IFERROR(VLOOKUP(J28,Шкала!$A$2:$F$12,4,TRUE),"")</f>
        <v>2</v>
      </c>
      <c r="N28" t="str">
        <f>IF(J28&gt;=50,"зачёт","незачёт")</f>
        <v>незачёт</v>
      </c>
      <c r="O28">
        <f>IFERROR((0.2*N(C28)+0.35*N(D28)+0.15*N(E28)+0.05*N(F28))/0.75,"")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Инструкция</vt:lpstr>
      <vt:lpstr>Занятия</vt:lpstr>
      <vt:lpstr>Шкала</vt:lpstr>
      <vt:lpstr>Список</vt:lpstr>
      <vt:lpstr>Тесты</vt:lpstr>
      <vt:lpstr>Практика</vt:lpstr>
      <vt:lpstr>СРС</vt:lpstr>
      <vt:lpstr>Конспекты</vt:lpstr>
      <vt:lpstr>Итоги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Daniyar Kaliaskarov</dc:creator>
  <cp:lastModifiedBy>Daniyar Kaliaskarov</cp:lastModifiedBy>
  <dcterms:created xsi:type="dcterms:W3CDTF">2026-07-28T10:17:35Z</dcterms:created>
  <dcterms:modified xsi:type="dcterms:W3CDTF">2026-07-28T10:17:40Z</dcterms:modified>
</cp:coreProperties>
</file>